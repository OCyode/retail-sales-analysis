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Summary" sheetId="2" state="visible" r:id="rId4"/>
  </sheets>
  <definedNames>
    <definedName function="false" hidden="true" localSheetId="0" name="_xlnm._FilterDatabase" vbProcedure="false">'Cleaned Data'!$A$1:$K$295</definedName>
    <definedName function="false" hidden="true" localSheetId="1" name="_xlnm._FilterDatabase" vbProcedure="false">Summary!$A$1:$F$10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<sst xmlns="http://schemas.openxmlformats.org/spreadsheetml/2006/main" count="917" uniqueCount="30">
  <si>
    <t xml:space="preserve">transaction_id</t>
  </si>
  <si>
    <t xml:space="preserve">date</t>
  </si>
  <si>
    <t xml:space="preserve">branch</t>
  </si>
  <si>
    <t xml:space="preserve">product_name</t>
  </si>
  <si>
    <t xml:space="preserve">category</t>
  </si>
  <si>
    <t xml:space="preserve">quantity</t>
  </si>
  <si>
    <t xml:space="preserve">unit_price</t>
  </si>
  <si>
    <t xml:space="preserve">unit_cost</t>
  </si>
  <si>
    <t xml:space="preserve">revenue</t>
  </si>
  <si>
    <t xml:space="preserve">profit</t>
  </si>
  <si>
    <t xml:space="preserve">margin_%</t>
  </si>
  <si>
    <t xml:space="preserve">Lekki</t>
  </si>
  <si>
    <t xml:space="preserve">Jeans</t>
  </si>
  <si>
    <t xml:space="preserve">Clothing</t>
  </si>
  <si>
    <t xml:space="preserve">Ikeja</t>
  </si>
  <si>
    <t xml:space="preserve">Bread</t>
  </si>
  <si>
    <t xml:space="preserve">Groceries</t>
  </si>
  <si>
    <t xml:space="preserve">Rice</t>
  </si>
  <si>
    <t xml:space="preserve">Yaba</t>
  </si>
  <si>
    <t xml:space="preserve">T-Shirt</t>
  </si>
  <si>
    <t xml:space="preserve">Cooking Oil</t>
  </si>
  <si>
    <t xml:space="preserve">Sneakers</t>
  </si>
  <si>
    <t xml:space="preserve">Laptop</t>
  </si>
  <si>
    <t xml:space="preserve">Electronics</t>
  </si>
  <si>
    <t xml:space="preserve">Headphones</t>
  </si>
  <si>
    <t xml:space="preserve">Phone</t>
  </si>
  <si>
    <t xml:space="preserve">transactions</t>
  </si>
  <si>
    <t xml:space="preserve">total_revenue</t>
  </si>
  <si>
    <t xml:space="preserve">total_profit</t>
  </si>
  <si>
    <t xml:space="preserve">avg_margin_%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</si>
</sst>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1" min="10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22</v>
      </c>
      <c r="B2" s="3" t="n">
        <v>45658</v>
      </c>
      <c r="C2" s="2" t="s">
        <v>11</v>
      </c>
      <c r="D2" s="2" t="s">
        <v>12</v>
      </c>
      <c r="E2" s="2" t="s">
        <v>13</v>
      </c>
      <c r="F2" s="2" t="n">
        <v>3</v>
      </c>
      <c r="G2" s="4" t="n">
        <v>35000</v>
      </c>
      <c r="H2" s="4" t="n">
        <v>20000</v>
      </c>
      <c r="I2" s="4" t="n">
        <f aca="false">F2*G2</f>
        <v>105000</v>
      </c>
      <c r="J2" s="4" t="n">
        <f aca="false">F2*(G2-H2)</f>
        <v>45000</v>
      </c>
      <c r="K2" s="5" t="n">
        <f aca="false">(G2-H2)/G2</f>
        <v>0.428571428571429</v>
      </c>
    </row>
    <row r="3" customFormat="false" ht="15" hidden="false" customHeight="false" outlineLevel="0" collapsed="false">
      <c r="A3" s="6" t="n">
        <v>187</v>
      </c>
      <c r="B3" s="7" t="n">
        <v>45658</v>
      </c>
      <c r="C3" s="6" t="s">
        <v>14</v>
      </c>
      <c r="D3" s="6" t="s">
        <v>15</v>
      </c>
      <c r="E3" s="6" t="s">
        <v>16</v>
      </c>
      <c r="F3" s="6" t="n">
        <v>14</v>
      </c>
      <c r="G3" s="8" t="n">
        <v>1500</v>
      </c>
      <c r="H3" s="8" t="n">
        <v>900</v>
      </c>
      <c r="I3" s="8" t="n">
        <f aca="false">F3*G3</f>
        <v>21000</v>
      </c>
      <c r="J3" s="8" t="n">
        <f aca="false">F3*(G3-H3)</f>
        <v>8400</v>
      </c>
      <c r="K3" s="9" t="n">
        <f aca="false">(G3-H3)/G3</f>
        <v>0.4</v>
      </c>
    </row>
    <row r="4" customFormat="false" ht="15" hidden="false" customHeight="false" outlineLevel="0" collapsed="false">
      <c r="A4" s="2" t="n">
        <v>114</v>
      </c>
      <c r="B4" s="3" t="n">
        <v>45659</v>
      </c>
      <c r="C4" s="2" t="s">
        <v>14</v>
      </c>
      <c r="D4" s="2" t="s">
        <v>15</v>
      </c>
      <c r="E4" s="2" t="s">
        <v>16</v>
      </c>
      <c r="F4" s="2" t="n">
        <v>33</v>
      </c>
      <c r="G4" s="4" t="n">
        <v>1500</v>
      </c>
      <c r="H4" s="4" t="n">
        <v>900</v>
      </c>
      <c r="I4" s="4" t="n">
        <f aca="false">F4*G4</f>
        <v>49500</v>
      </c>
      <c r="J4" s="4" t="n">
        <f aca="false">F4*(G4-H4)</f>
        <v>19800</v>
      </c>
      <c r="K4" s="5" t="n">
        <f aca="false">(G4-H4)/G4</f>
        <v>0.4</v>
      </c>
    </row>
    <row r="5" customFormat="false" ht="15" hidden="false" customHeight="false" outlineLevel="0" collapsed="false">
      <c r="A5" s="6" t="n">
        <v>49</v>
      </c>
      <c r="B5" s="7" t="n">
        <v>45659</v>
      </c>
      <c r="C5" s="6" t="s">
        <v>14</v>
      </c>
      <c r="D5" s="6" t="s">
        <v>17</v>
      </c>
      <c r="E5" s="6" t="s">
        <v>16</v>
      </c>
      <c r="F5" s="6" t="n">
        <v>22</v>
      </c>
      <c r="G5" s="8" t="n">
        <v>85000</v>
      </c>
      <c r="H5" s="8" t="n">
        <v>75000</v>
      </c>
      <c r="I5" s="8" t="n">
        <f aca="false">F5*G5</f>
        <v>1870000</v>
      </c>
      <c r="J5" s="8" t="n">
        <f aca="false">F5*(G5-H5)</f>
        <v>220000</v>
      </c>
      <c r="K5" s="9" t="n">
        <f aca="false">(G5-H5)/G5</f>
        <v>0.117647058823529</v>
      </c>
    </row>
    <row r="6" customFormat="false" ht="15" hidden="false" customHeight="false" outlineLevel="0" collapsed="false">
      <c r="A6" s="2" t="n">
        <v>228</v>
      </c>
      <c r="B6" s="3" t="n">
        <v>45660</v>
      </c>
      <c r="C6" s="2" t="s">
        <v>18</v>
      </c>
      <c r="D6" s="2" t="s">
        <v>12</v>
      </c>
      <c r="E6" s="2" t="s">
        <v>13</v>
      </c>
      <c r="F6" s="2" t="n">
        <v>1</v>
      </c>
      <c r="G6" s="4" t="n">
        <v>35000</v>
      </c>
      <c r="H6" s="4" t="n">
        <v>20000</v>
      </c>
      <c r="I6" s="4" t="n">
        <f aca="false">F6*G6</f>
        <v>35000</v>
      </c>
      <c r="J6" s="4" t="n">
        <f aca="false">F6*(G6-H6)</f>
        <v>15000</v>
      </c>
      <c r="K6" s="5" t="n">
        <f aca="false">(G6-H6)/G6</f>
        <v>0.428571428571429</v>
      </c>
    </row>
    <row r="7" customFormat="false" ht="15" hidden="false" customHeight="false" outlineLevel="0" collapsed="false">
      <c r="A7" s="6" t="n">
        <v>98</v>
      </c>
      <c r="B7" s="7" t="n">
        <v>45660</v>
      </c>
      <c r="C7" s="6" t="s">
        <v>14</v>
      </c>
      <c r="D7" s="6" t="s">
        <v>19</v>
      </c>
      <c r="E7" s="6" t="s">
        <v>13</v>
      </c>
      <c r="F7" s="6" t="n">
        <v>3</v>
      </c>
      <c r="G7" s="8" t="n">
        <v>15000</v>
      </c>
      <c r="H7" s="8" t="n">
        <v>7000</v>
      </c>
      <c r="I7" s="8" t="n">
        <f aca="false">F7*G7</f>
        <v>45000</v>
      </c>
      <c r="J7" s="8" t="n">
        <f aca="false">F7*(G7-H7)</f>
        <v>24000</v>
      </c>
      <c r="K7" s="9" t="n">
        <f aca="false">(G7-H7)/G7</f>
        <v>0.533333333333333</v>
      </c>
    </row>
    <row r="8" customFormat="false" ht="15" hidden="false" customHeight="false" outlineLevel="0" collapsed="false">
      <c r="A8" s="2" t="n">
        <v>163</v>
      </c>
      <c r="B8" s="3" t="n">
        <v>45660</v>
      </c>
      <c r="C8" s="2" t="s">
        <v>14</v>
      </c>
      <c r="D8" s="2" t="s">
        <v>20</v>
      </c>
      <c r="E8" s="2" t="s">
        <v>16</v>
      </c>
      <c r="F8" s="2" t="n">
        <v>35</v>
      </c>
      <c r="G8" s="4" t="n">
        <v>18000</v>
      </c>
      <c r="H8" s="4" t="n">
        <v>14000</v>
      </c>
      <c r="I8" s="4" t="n">
        <f aca="false">F8*G8</f>
        <v>630000</v>
      </c>
      <c r="J8" s="4" t="n">
        <f aca="false">F8*(G8-H8)</f>
        <v>140000</v>
      </c>
      <c r="K8" s="5" t="n">
        <f aca="false">(G8-H8)/G8</f>
        <v>0.222222222222222</v>
      </c>
    </row>
    <row r="9" customFormat="false" ht="15" hidden="false" customHeight="false" outlineLevel="0" collapsed="false">
      <c r="A9" s="6" t="n">
        <v>234</v>
      </c>
      <c r="B9" s="7" t="n">
        <v>45660</v>
      </c>
      <c r="C9" s="6" t="s">
        <v>11</v>
      </c>
      <c r="D9" s="6" t="s">
        <v>21</v>
      </c>
      <c r="E9" s="6" t="s">
        <v>13</v>
      </c>
      <c r="F9" s="6" t="n">
        <v>3</v>
      </c>
      <c r="G9" s="8" t="n">
        <v>60000</v>
      </c>
      <c r="H9" s="8" t="n">
        <v>45000</v>
      </c>
      <c r="I9" s="8" t="n">
        <f aca="false">F9*G9</f>
        <v>180000</v>
      </c>
      <c r="J9" s="8" t="n">
        <f aca="false">F9*(G9-H9)</f>
        <v>45000</v>
      </c>
      <c r="K9" s="9" t="n">
        <f aca="false">(G9-H9)/G9</f>
        <v>0.25</v>
      </c>
    </row>
    <row r="10" customFormat="false" ht="15" hidden="false" customHeight="false" outlineLevel="0" collapsed="false">
      <c r="A10" s="2" t="n">
        <v>89</v>
      </c>
      <c r="B10" s="3" t="n">
        <v>45660</v>
      </c>
      <c r="C10" s="2" t="s">
        <v>14</v>
      </c>
      <c r="D10" s="2" t="s">
        <v>22</v>
      </c>
      <c r="E10" s="2" t="s">
        <v>23</v>
      </c>
      <c r="F10" s="2" t="n">
        <v>5</v>
      </c>
      <c r="G10" s="4" t="n">
        <v>600000</v>
      </c>
      <c r="H10" s="4" t="n">
        <v>520000</v>
      </c>
      <c r="I10" s="4" t="n">
        <f aca="false">F10*G10</f>
        <v>3000000</v>
      </c>
      <c r="J10" s="4" t="n">
        <f aca="false">F10*(G10-H10)</f>
        <v>400000</v>
      </c>
      <c r="K10" s="5" t="n">
        <f aca="false">(G10-H10)/G10</f>
        <v>0.133333333333333</v>
      </c>
    </row>
    <row r="11" customFormat="false" ht="15" hidden="false" customHeight="false" outlineLevel="0" collapsed="false">
      <c r="A11" s="6" t="n">
        <v>16</v>
      </c>
      <c r="B11" s="7" t="n">
        <v>45660</v>
      </c>
      <c r="C11" s="6" t="s">
        <v>11</v>
      </c>
      <c r="D11" s="6" t="s">
        <v>24</v>
      </c>
      <c r="E11" s="6" t="s">
        <v>23</v>
      </c>
      <c r="F11" s="6" t="n">
        <v>4</v>
      </c>
      <c r="G11" s="8" t="n">
        <v>40000</v>
      </c>
      <c r="H11" s="8" t="n">
        <v>25000</v>
      </c>
      <c r="I11" s="8" t="n">
        <f aca="false">F11*G11</f>
        <v>160000</v>
      </c>
      <c r="J11" s="8" t="n">
        <f aca="false">F11*(G11-H11)</f>
        <v>60000</v>
      </c>
      <c r="K11" s="9" t="n">
        <f aca="false">(G11-H11)/G11</f>
        <v>0.375</v>
      </c>
    </row>
    <row r="12" customFormat="false" ht="15" hidden="false" customHeight="false" outlineLevel="0" collapsed="false">
      <c r="A12" s="2" t="n">
        <v>294</v>
      </c>
      <c r="B12" s="3" t="n">
        <v>45662</v>
      </c>
      <c r="C12" s="2" t="s">
        <v>18</v>
      </c>
      <c r="D12" s="2" t="s">
        <v>12</v>
      </c>
      <c r="E12" s="2" t="s">
        <v>13</v>
      </c>
      <c r="F12" s="2" t="n">
        <v>1</v>
      </c>
      <c r="G12" s="4" t="n">
        <v>35000</v>
      </c>
      <c r="H12" s="4" t="n">
        <v>20000</v>
      </c>
      <c r="I12" s="4" t="n">
        <f aca="false">F12*G12</f>
        <v>35000</v>
      </c>
      <c r="J12" s="4" t="n">
        <f aca="false">F12*(G12-H12)</f>
        <v>15000</v>
      </c>
      <c r="K12" s="5" t="n">
        <f aca="false">(G12-H12)/G12</f>
        <v>0.428571428571429</v>
      </c>
    </row>
    <row r="13" customFormat="false" ht="15" hidden="false" customHeight="false" outlineLevel="0" collapsed="false">
      <c r="A13" s="6" t="n">
        <v>33</v>
      </c>
      <c r="B13" s="7" t="n">
        <v>45663</v>
      </c>
      <c r="C13" s="6" t="s">
        <v>14</v>
      </c>
      <c r="D13" s="6" t="s">
        <v>17</v>
      </c>
      <c r="E13" s="6" t="s">
        <v>16</v>
      </c>
      <c r="F13" s="6" t="n">
        <v>39</v>
      </c>
      <c r="G13" s="8" t="n">
        <v>85000</v>
      </c>
      <c r="H13" s="8" t="n">
        <v>75000</v>
      </c>
      <c r="I13" s="8" t="n">
        <f aca="false">F13*G13</f>
        <v>3315000</v>
      </c>
      <c r="J13" s="8" t="n">
        <f aca="false">F13*(G13-H13)</f>
        <v>390000</v>
      </c>
      <c r="K13" s="9" t="n">
        <f aca="false">(G13-H13)/G13</f>
        <v>0.117647058823529</v>
      </c>
    </row>
    <row r="14" customFormat="false" ht="15" hidden="false" customHeight="false" outlineLevel="0" collapsed="false">
      <c r="A14" s="2" t="n">
        <v>90</v>
      </c>
      <c r="B14" s="3" t="n">
        <v>45663</v>
      </c>
      <c r="C14" s="2" t="s">
        <v>18</v>
      </c>
      <c r="D14" s="2" t="s">
        <v>21</v>
      </c>
      <c r="E14" s="2" t="s">
        <v>13</v>
      </c>
      <c r="F14" s="2" t="n">
        <v>3</v>
      </c>
      <c r="G14" s="4" t="n">
        <v>60000</v>
      </c>
      <c r="H14" s="4" t="n">
        <v>45000</v>
      </c>
      <c r="I14" s="4" t="n">
        <f aca="false">F14*G14</f>
        <v>180000</v>
      </c>
      <c r="J14" s="4" t="n">
        <f aca="false">F14*(G14-H14)</f>
        <v>45000</v>
      </c>
      <c r="K14" s="5" t="n">
        <f aca="false">(G14-H14)/G14</f>
        <v>0.25</v>
      </c>
    </row>
    <row r="15" customFormat="false" ht="15" hidden="false" customHeight="false" outlineLevel="0" collapsed="false">
      <c r="A15" s="6" t="n">
        <v>164</v>
      </c>
      <c r="B15" s="7" t="n">
        <v>45666</v>
      </c>
      <c r="C15" s="6" t="s">
        <v>11</v>
      </c>
      <c r="D15" s="6" t="s">
        <v>17</v>
      </c>
      <c r="E15" s="6" t="s">
        <v>16</v>
      </c>
      <c r="F15" s="6" t="n">
        <v>19</v>
      </c>
      <c r="G15" s="8" t="n">
        <v>85000</v>
      </c>
      <c r="H15" s="8" t="n">
        <v>75000</v>
      </c>
      <c r="I15" s="8" t="n">
        <f aca="false">F15*G15</f>
        <v>1615000</v>
      </c>
      <c r="J15" s="8" t="n">
        <f aca="false">F15*(G15-H15)</f>
        <v>190000</v>
      </c>
      <c r="K15" s="9" t="n">
        <f aca="false">(G15-H15)/G15</f>
        <v>0.117647058823529</v>
      </c>
    </row>
    <row r="16" customFormat="false" ht="15" hidden="false" customHeight="false" outlineLevel="0" collapsed="false">
      <c r="A16" s="2" t="n">
        <v>226</v>
      </c>
      <c r="B16" s="3" t="n">
        <v>45666</v>
      </c>
      <c r="C16" s="2" t="s">
        <v>14</v>
      </c>
      <c r="D16" s="2" t="s">
        <v>17</v>
      </c>
      <c r="E16" s="2" t="s">
        <v>16</v>
      </c>
      <c r="F16" s="2" t="n">
        <v>38</v>
      </c>
      <c r="G16" s="4" t="n">
        <v>85000</v>
      </c>
      <c r="H16" s="4" t="n">
        <v>75000</v>
      </c>
      <c r="I16" s="4" t="n">
        <f aca="false">F16*G16</f>
        <v>3230000</v>
      </c>
      <c r="J16" s="4" t="n">
        <f aca="false">F16*(G16-H16)</f>
        <v>380000</v>
      </c>
      <c r="K16" s="5" t="n">
        <f aca="false">(G16-H16)/G16</f>
        <v>0.117647058823529</v>
      </c>
    </row>
    <row r="17" customFormat="false" ht="15" hidden="false" customHeight="false" outlineLevel="0" collapsed="false">
      <c r="A17" s="6" t="n">
        <v>95</v>
      </c>
      <c r="B17" s="7" t="n">
        <v>45667</v>
      </c>
      <c r="C17" s="6" t="s">
        <v>14</v>
      </c>
      <c r="D17" s="6" t="s">
        <v>24</v>
      </c>
      <c r="E17" s="6" t="s">
        <v>23</v>
      </c>
      <c r="F17" s="6" t="n">
        <v>3</v>
      </c>
      <c r="G17" s="8" t="n">
        <v>40000</v>
      </c>
      <c r="H17" s="8" t="n">
        <v>25000</v>
      </c>
      <c r="I17" s="8" t="n">
        <f aca="false">F17*G17</f>
        <v>120000</v>
      </c>
      <c r="J17" s="8" t="n">
        <f aca="false">F17*(G17-H17)</f>
        <v>45000</v>
      </c>
      <c r="K17" s="9" t="n">
        <f aca="false">(G17-H17)/G17</f>
        <v>0.375</v>
      </c>
    </row>
    <row r="18" customFormat="false" ht="15" hidden="false" customHeight="false" outlineLevel="0" collapsed="false">
      <c r="A18" s="2" t="n">
        <v>46</v>
      </c>
      <c r="B18" s="3" t="n">
        <v>45667</v>
      </c>
      <c r="C18" s="2" t="s">
        <v>14</v>
      </c>
      <c r="D18" s="2" t="s">
        <v>21</v>
      </c>
      <c r="E18" s="2" t="s">
        <v>13</v>
      </c>
      <c r="F18" s="2" t="n">
        <v>3</v>
      </c>
      <c r="G18" s="4" t="n">
        <v>60000</v>
      </c>
      <c r="H18" s="4" t="n">
        <v>45000</v>
      </c>
      <c r="I18" s="4" t="n">
        <f aca="false">F18*G18</f>
        <v>180000</v>
      </c>
      <c r="J18" s="4" t="n">
        <f aca="false">F18*(G18-H18)</f>
        <v>45000</v>
      </c>
      <c r="K18" s="5" t="n">
        <f aca="false">(G18-H18)/G18</f>
        <v>0.25</v>
      </c>
    </row>
    <row r="19" customFormat="false" ht="15" hidden="false" customHeight="false" outlineLevel="0" collapsed="false">
      <c r="A19" s="6" t="n">
        <v>242</v>
      </c>
      <c r="B19" s="7" t="n">
        <v>45667</v>
      </c>
      <c r="C19" s="6" t="s">
        <v>11</v>
      </c>
      <c r="D19" s="6" t="s">
        <v>12</v>
      </c>
      <c r="E19" s="6" t="s">
        <v>13</v>
      </c>
      <c r="F19" s="6" t="n">
        <v>1</v>
      </c>
      <c r="G19" s="8" t="n">
        <v>35000</v>
      </c>
      <c r="H19" s="8" t="n">
        <v>20000</v>
      </c>
      <c r="I19" s="8" t="n">
        <f aca="false">F19*G19</f>
        <v>35000</v>
      </c>
      <c r="J19" s="8" t="n">
        <f aca="false">F19*(G19-H19)</f>
        <v>15000</v>
      </c>
      <c r="K19" s="9" t="n">
        <f aca="false">(G19-H19)/G19</f>
        <v>0.428571428571429</v>
      </c>
    </row>
    <row r="20" customFormat="false" ht="15" hidden="false" customHeight="false" outlineLevel="0" collapsed="false">
      <c r="A20" s="2" t="n">
        <v>162</v>
      </c>
      <c r="B20" s="3" t="n">
        <v>45667</v>
      </c>
      <c r="C20" s="2" t="s">
        <v>14</v>
      </c>
      <c r="D20" s="2" t="s">
        <v>25</v>
      </c>
      <c r="E20" s="2" t="s">
        <v>23</v>
      </c>
      <c r="F20" s="2" t="n">
        <v>4</v>
      </c>
      <c r="G20" s="4" t="n">
        <v>250000</v>
      </c>
      <c r="H20" s="4" t="n">
        <v>200000</v>
      </c>
      <c r="I20" s="4" t="n">
        <f aca="false">F20*G20</f>
        <v>1000000</v>
      </c>
      <c r="J20" s="4" t="n">
        <f aca="false">F20*(G20-H20)</f>
        <v>200000</v>
      </c>
      <c r="K20" s="5" t="n">
        <f aca="false">(G20-H20)/G20</f>
        <v>0.2</v>
      </c>
    </row>
    <row r="21" customFormat="false" ht="15" hidden="false" customHeight="false" outlineLevel="0" collapsed="false">
      <c r="A21" s="6" t="n">
        <v>198</v>
      </c>
      <c r="B21" s="7" t="n">
        <v>45667</v>
      </c>
      <c r="C21" s="6" t="s">
        <v>14</v>
      </c>
      <c r="D21" s="6" t="s">
        <v>24</v>
      </c>
      <c r="E21" s="6" t="s">
        <v>23</v>
      </c>
      <c r="F21" s="6" t="n">
        <v>1</v>
      </c>
      <c r="G21" s="8" t="n">
        <v>40000</v>
      </c>
      <c r="H21" s="8" t="n">
        <v>25000</v>
      </c>
      <c r="I21" s="8" t="n">
        <f aca="false">F21*G21</f>
        <v>40000</v>
      </c>
      <c r="J21" s="8" t="n">
        <f aca="false">F21*(G21-H21)</f>
        <v>15000</v>
      </c>
      <c r="K21" s="9" t="n">
        <f aca="false">(G21-H21)/G21</f>
        <v>0.375</v>
      </c>
    </row>
    <row r="22" customFormat="false" ht="15" hidden="false" customHeight="false" outlineLevel="0" collapsed="false">
      <c r="A22" s="2" t="n">
        <v>134</v>
      </c>
      <c r="B22" s="3" t="n">
        <v>45668</v>
      </c>
      <c r="C22" s="2" t="s">
        <v>14</v>
      </c>
      <c r="D22" s="2" t="s">
        <v>21</v>
      </c>
      <c r="E22" s="2" t="s">
        <v>13</v>
      </c>
      <c r="F22" s="2" t="n">
        <v>3</v>
      </c>
      <c r="G22" s="4" t="n">
        <v>60000</v>
      </c>
      <c r="H22" s="4" t="n">
        <v>45000</v>
      </c>
      <c r="I22" s="4" t="n">
        <f aca="false">F22*G22</f>
        <v>180000</v>
      </c>
      <c r="J22" s="4" t="n">
        <f aca="false">F22*(G22-H22)</f>
        <v>45000</v>
      </c>
      <c r="K22" s="5" t="n">
        <f aca="false">(G22-H22)/G22</f>
        <v>0.25</v>
      </c>
    </row>
    <row r="23" customFormat="false" ht="15" hidden="false" customHeight="false" outlineLevel="0" collapsed="false">
      <c r="A23" s="6" t="n">
        <v>133</v>
      </c>
      <c r="B23" s="7" t="n">
        <v>45669</v>
      </c>
      <c r="C23" s="6" t="s">
        <v>11</v>
      </c>
      <c r="D23" s="6" t="s">
        <v>12</v>
      </c>
      <c r="E23" s="6" t="s">
        <v>13</v>
      </c>
      <c r="F23" s="6" t="n">
        <v>3</v>
      </c>
      <c r="G23" s="8" t="n">
        <v>35000</v>
      </c>
      <c r="H23" s="8" t="n">
        <v>20000</v>
      </c>
      <c r="I23" s="8" t="n">
        <f aca="false">F23*G23</f>
        <v>105000</v>
      </c>
      <c r="J23" s="8" t="n">
        <f aca="false">F23*(G23-H23)</f>
        <v>45000</v>
      </c>
      <c r="K23" s="9" t="n">
        <f aca="false">(G23-H23)/G23</f>
        <v>0.428571428571429</v>
      </c>
    </row>
    <row r="24" customFormat="false" ht="15" hidden="false" customHeight="false" outlineLevel="0" collapsed="false">
      <c r="A24" s="2" t="n">
        <v>185</v>
      </c>
      <c r="B24" s="3" t="n">
        <v>45671</v>
      </c>
      <c r="C24" s="2" t="s">
        <v>11</v>
      </c>
      <c r="D24" s="2" t="s">
        <v>25</v>
      </c>
      <c r="E24" s="2" t="s">
        <v>23</v>
      </c>
      <c r="F24" s="2" t="n">
        <v>1</v>
      </c>
      <c r="G24" s="4" t="n">
        <v>250000</v>
      </c>
      <c r="H24" s="4" t="n">
        <v>200000</v>
      </c>
      <c r="I24" s="4" t="n">
        <f aca="false">F24*G24</f>
        <v>250000</v>
      </c>
      <c r="J24" s="4" t="n">
        <f aca="false">F24*(G24-H24)</f>
        <v>50000</v>
      </c>
      <c r="K24" s="5" t="n">
        <f aca="false">(G24-H24)/G24</f>
        <v>0.2</v>
      </c>
    </row>
    <row r="25" customFormat="false" ht="15" hidden="false" customHeight="false" outlineLevel="0" collapsed="false">
      <c r="A25" s="6" t="n">
        <v>59</v>
      </c>
      <c r="B25" s="7" t="n">
        <v>45672</v>
      </c>
      <c r="C25" s="6" t="s">
        <v>11</v>
      </c>
      <c r="D25" s="6" t="s">
        <v>22</v>
      </c>
      <c r="E25" s="6" t="s">
        <v>23</v>
      </c>
      <c r="F25" s="6" t="n">
        <v>4</v>
      </c>
      <c r="G25" s="8" t="n">
        <v>600000</v>
      </c>
      <c r="H25" s="8" t="n">
        <v>520000</v>
      </c>
      <c r="I25" s="8" t="n">
        <f aca="false">F25*G25</f>
        <v>2400000</v>
      </c>
      <c r="J25" s="8" t="n">
        <f aca="false">F25*(G25-H25)</f>
        <v>320000</v>
      </c>
      <c r="K25" s="9" t="n">
        <f aca="false">(G25-H25)/G25</f>
        <v>0.133333333333333</v>
      </c>
    </row>
    <row r="26" customFormat="false" ht="15" hidden="false" customHeight="false" outlineLevel="0" collapsed="false">
      <c r="A26" s="2" t="n">
        <v>213</v>
      </c>
      <c r="B26" s="3" t="n">
        <v>45673</v>
      </c>
      <c r="C26" s="2" t="s">
        <v>18</v>
      </c>
      <c r="D26" s="2" t="s">
        <v>25</v>
      </c>
      <c r="E26" s="2" t="s">
        <v>23</v>
      </c>
      <c r="F26" s="2" t="n">
        <v>2</v>
      </c>
      <c r="G26" s="4" t="n">
        <v>250000</v>
      </c>
      <c r="H26" s="4" t="n">
        <v>200000</v>
      </c>
      <c r="I26" s="4" t="n">
        <f aca="false">F26*G26</f>
        <v>500000</v>
      </c>
      <c r="J26" s="4" t="n">
        <f aca="false">F26*(G26-H26)</f>
        <v>100000</v>
      </c>
      <c r="K26" s="5" t="n">
        <f aca="false">(G26-H26)/G26</f>
        <v>0.2</v>
      </c>
    </row>
    <row r="27" customFormat="false" ht="15" hidden="false" customHeight="false" outlineLevel="0" collapsed="false">
      <c r="A27" s="6" t="n">
        <v>14</v>
      </c>
      <c r="B27" s="7" t="n">
        <v>45674</v>
      </c>
      <c r="C27" s="6" t="s">
        <v>11</v>
      </c>
      <c r="D27" s="6" t="s">
        <v>15</v>
      </c>
      <c r="E27" s="6" t="s">
        <v>16</v>
      </c>
      <c r="F27" s="6" t="n">
        <v>8</v>
      </c>
      <c r="G27" s="8" t="n">
        <v>1500</v>
      </c>
      <c r="H27" s="8" t="n">
        <v>900</v>
      </c>
      <c r="I27" s="8" t="n">
        <f aca="false">F27*G27</f>
        <v>12000</v>
      </c>
      <c r="J27" s="8" t="n">
        <f aca="false">F27*(G27-H27)</f>
        <v>4800</v>
      </c>
      <c r="K27" s="9" t="n">
        <f aca="false">(G27-H27)/G27</f>
        <v>0.4</v>
      </c>
    </row>
    <row r="28" customFormat="false" ht="15" hidden="false" customHeight="false" outlineLevel="0" collapsed="false">
      <c r="A28" s="2" t="n">
        <v>209</v>
      </c>
      <c r="B28" s="3" t="n">
        <v>45674</v>
      </c>
      <c r="C28" s="2" t="s">
        <v>14</v>
      </c>
      <c r="D28" s="2" t="s">
        <v>24</v>
      </c>
      <c r="E28" s="2" t="s">
        <v>23</v>
      </c>
      <c r="F28" s="2" t="n">
        <v>4</v>
      </c>
      <c r="G28" s="4" t="n">
        <v>40000</v>
      </c>
      <c r="H28" s="4" t="n">
        <v>25000</v>
      </c>
      <c r="I28" s="4" t="n">
        <f aca="false">F28*G28</f>
        <v>160000</v>
      </c>
      <c r="J28" s="4" t="n">
        <f aca="false">F28*(G28-H28)</f>
        <v>60000</v>
      </c>
      <c r="K28" s="5" t="n">
        <f aca="false">(G28-H28)/G28</f>
        <v>0.375</v>
      </c>
    </row>
    <row r="29" customFormat="false" ht="15" hidden="false" customHeight="false" outlineLevel="0" collapsed="false">
      <c r="A29" s="6" t="n">
        <v>151</v>
      </c>
      <c r="B29" s="7" t="n">
        <v>45674</v>
      </c>
      <c r="C29" s="6" t="s">
        <v>14</v>
      </c>
      <c r="D29" s="6" t="s">
        <v>25</v>
      </c>
      <c r="E29" s="6" t="s">
        <v>23</v>
      </c>
      <c r="F29" s="6" t="n">
        <v>5</v>
      </c>
      <c r="G29" s="8" t="n">
        <v>250000</v>
      </c>
      <c r="H29" s="8" t="n">
        <v>200000</v>
      </c>
      <c r="I29" s="8" t="n">
        <f aca="false">F29*G29</f>
        <v>1250000</v>
      </c>
      <c r="J29" s="8" t="n">
        <f aca="false">F29*(G29-H29)</f>
        <v>250000</v>
      </c>
      <c r="K29" s="9" t="n">
        <f aca="false">(G29-H29)/G29</f>
        <v>0.2</v>
      </c>
    </row>
    <row r="30" customFormat="false" ht="15" hidden="false" customHeight="false" outlineLevel="0" collapsed="false">
      <c r="A30" s="2" t="n">
        <v>246</v>
      </c>
      <c r="B30" s="3" t="n">
        <v>45675</v>
      </c>
      <c r="C30" s="2" t="s">
        <v>14</v>
      </c>
      <c r="D30" s="2" t="s">
        <v>12</v>
      </c>
      <c r="E30" s="2" t="s">
        <v>13</v>
      </c>
      <c r="F30" s="2" t="n">
        <v>3</v>
      </c>
      <c r="G30" s="4" t="n">
        <v>35000</v>
      </c>
      <c r="H30" s="4" t="n">
        <v>20000</v>
      </c>
      <c r="I30" s="4" t="n">
        <f aca="false">F30*G30</f>
        <v>105000</v>
      </c>
      <c r="J30" s="4" t="n">
        <f aca="false">F30*(G30-H30)</f>
        <v>45000</v>
      </c>
      <c r="K30" s="5" t="n">
        <f aca="false">(G30-H30)/G30</f>
        <v>0.428571428571429</v>
      </c>
    </row>
    <row r="31" customFormat="false" ht="15" hidden="false" customHeight="false" outlineLevel="0" collapsed="false">
      <c r="A31" s="6" t="n">
        <v>232</v>
      </c>
      <c r="B31" s="7" t="n">
        <v>45675</v>
      </c>
      <c r="C31" s="6" t="s">
        <v>14</v>
      </c>
      <c r="D31" s="6" t="s">
        <v>24</v>
      </c>
      <c r="E31" s="6" t="s">
        <v>23</v>
      </c>
      <c r="F31" s="6" t="n">
        <v>2</v>
      </c>
      <c r="G31" s="8" t="n">
        <v>40000</v>
      </c>
      <c r="H31" s="8" t="n">
        <v>25000</v>
      </c>
      <c r="I31" s="8" t="n">
        <f aca="false">F31*G31</f>
        <v>80000</v>
      </c>
      <c r="J31" s="8" t="n">
        <f aca="false">F31*(G31-H31)</f>
        <v>30000</v>
      </c>
      <c r="K31" s="9" t="n">
        <f aca="false">(G31-H31)/G31</f>
        <v>0.375</v>
      </c>
    </row>
    <row r="32" customFormat="false" ht="15" hidden="false" customHeight="false" outlineLevel="0" collapsed="false">
      <c r="A32" s="2" t="n">
        <v>166</v>
      </c>
      <c r="B32" s="3" t="n">
        <v>45675</v>
      </c>
      <c r="C32" s="2" t="s">
        <v>18</v>
      </c>
      <c r="D32" s="2" t="s">
        <v>12</v>
      </c>
      <c r="E32" s="2" t="s">
        <v>13</v>
      </c>
      <c r="F32" s="2" t="n">
        <v>2</v>
      </c>
      <c r="G32" s="4" t="n">
        <v>35000</v>
      </c>
      <c r="H32" s="4" t="n">
        <v>20000</v>
      </c>
      <c r="I32" s="4" t="n">
        <f aca="false">F32*G32</f>
        <v>70000</v>
      </c>
      <c r="J32" s="4" t="n">
        <f aca="false">F32*(G32-H32)</f>
        <v>30000</v>
      </c>
      <c r="K32" s="5" t="n">
        <f aca="false">(G32-H32)/G32</f>
        <v>0.428571428571429</v>
      </c>
    </row>
    <row r="33" customFormat="false" ht="15" hidden="false" customHeight="false" outlineLevel="0" collapsed="false">
      <c r="A33" s="6" t="n">
        <v>27</v>
      </c>
      <c r="B33" s="7" t="n">
        <v>45675</v>
      </c>
      <c r="C33" s="6" t="s">
        <v>14</v>
      </c>
      <c r="D33" s="6" t="s">
        <v>15</v>
      </c>
      <c r="E33" s="6" t="s">
        <v>16</v>
      </c>
      <c r="F33" s="6" t="n">
        <v>50</v>
      </c>
      <c r="G33" s="8" t="n">
        <v>1500</v>
      </c>
      <c r="H33" s="8" t="n">
        <v>900</v>
      </c>
      <c r="I33" s="8" t="n">
        <f aca="false">F33*G33</f>
        <v>75000</v>
      </c>
      <c r="J33" s="8" t="n">
        <f aca="false">F33*(G33-H33)</f>
        <v>30000</v>
      </c>
      <c r="K33" s="9" t="n">
        <f aca="false">(G33-H33)/G33</f>
        <v>0.4</v>
      </c>
    </row>
    <row r="34" customFormat="false" ht="15" hidden="false" customHeight="false" outlineLevel="0" collapsed="false">
      <c r="A34" s="2" t="n">
        <v>85</v>
      </c>
      <c r="B34" s="3" t="n">
        <v>45675</v>
      </c>
      <c r="C34" s="2" t="s">
        <v>11</v>
      </c>
      <c r="D34" s="2" t="s">
        <v>20</v>
      </c>
      <c r="E34" s="2" t="s">
        <v>16</v>
      </c>
      <c r="F34" s="2" t="n">
        <v>21</v>
      </c>
      <c r="G34" s="4" t="n">
        <v>18000</v>
      </c>
      <c r="H34" s="4" t="n">
        <v>14000</v>
      </c>
      <c r="I34" s="4" t="n">
        <f aca="false">F34*G34</f>
        <v>378000</v>
      </c>
      <c r="J34" s="4" t="n">
        <f aca="false">F34*(G34-H34)</f>
        <v>84000</v>
      </c>
      <c r="K34" s="5" t="n">
        <f aca="false">(G34-H34)/G34</f>
        <v>0.222222222222222</v>
      </c>
    </row>
    <row r="35" customFormat="false" ht="15" hidden="false" customHeight="false" outlineLevel="0" collapsed="false">
      <c r="A35" s="6" t="n">
        <v>258</v>
      </c>
      <c r="B35" s="7" t="n">
        <v>45676</v>
      </c>
      <c r="C35" s="6" t="s">
        <v>14</v>
      </c>
      <c r="D35" s="6" t="s">
        <v>20</v>
      </c>
      <c r="E35" s="6" t="s">
        <v>16</v>
      </c>
      <c r="F35" s="6" t="n">
        <v>10</v>
      </c>
      <c r="G35" s="8" t="n">
        <v>18000</v>
      </c>
      <c r="H35" s="8" t="n">
        <v>14000</v>
      </c>
      <c r="I35" s="8" t="n">
        <f aca="false">F35*G35</f>
        <v>180000</v>
      </c>
      <c r="J35" s="8" t="n">
        <f aca="false">F35*(G35-H35)</f>
        <v>40000</v>
      </c>
      <c r="K35" s="9" t="n">
        <f aca="false">(G35-H35)/G35</f>
        <v>0.222222222222222</v>
      </c>
    </row>
    <row r="36" customFormat="false" ht="15" hidden="false" customHeight="false" outlineLevel="0" collapsed="false">
      <c r="A36" s="2" t="n">
        <v>270</v>
      </c>
      <c r="B36" s="3" t="n">
        <v>45677</v>
      </c>
      <c r="C36" s="2" t="s">
        <v>11</v>
      </c>
      <c r="D36" s="2" t="s">
        <v>12</v>
      </c>
      <c r="E36" s="2" t="s">
        <v>13</v>
      </c>
      <c r="F36" s="2" t="n">
        <v>2</v>
      </c>
      <c r="G36" s="4" t="n">
        <v>35000</v>
      </c>
      <c r="H36" s="4" t="n">
        <v>20000</v>
      </c>
      <c r="I36" s="4" t="n">
        <f aca="false">F36*G36</f>
        <v>70000</v>
      </c>
      <c r="J36" s="4" t="n">
        <f aca="false">F36*(G36-H36)</f>
        <v>30000</v>
      </c>
      <c r="K36" s="5" t="n">
        <f aca="false">(G36-H36)/G36</f>
        <v>0.428571428571429</v>
      </c>
    </row>
    <row r="37" customFormat="false" ht="15" hidden="false" customHeight="false" outlineLevel="0" collapsed="false">
      <c r="A37" s="6" t="n">
        <v>274</v>
      </c>
      <c r="B37" s="7" t="n">
        <v>45678</v>
      </c>
      <c r="C37" s="6" t="s">
        <v>14</v>
      </c>
      <c r="D37" s="6" t="s">
        <v>20</v>
      </c>
      <c r="E37" s="6" t="s">
        <v>16</v>
      </c>
      <c r="F37" s="6" t="n">
        <v>17</v>
      </c>
      <c r="G37" s="8" t="n">
        <v>18000</v>
      </c>
      <c r="H37" s="8" t="n">
        <v>14000</v>
      </c>
      <c r="I37" s="8" t="n">
        <f aca="false">F37*G37</f>
        <v>306000</v>
      </c>
      <c r="J37" s="8" t="n">
        <f aca="false">F37*(G37-H37)</f>
        <v>68000</v>
      </c>
      <c r="K37" s="9" t="n">
        <f aca="false">(G37-H37)/G37</f>
        <v>0.222222222222222</v>
      </c>
    </row>
    <row r="38" customFormat="false" ht="15" hidden="false" customHeight="false" outlineLevel="0" collapsed="false">
      <c r="A38" s="2" t="n">
        <v>204</v>
      </c>
      <c r="B38" s="3" t="n">
        <v>45678</v>
      </c>
      <c r="C38" s="2" t="s">
        <v>14</v>
      </c>
      <c r="D38" s="2" t="s">
        <v>15</v>
      </c>
      <c r="E38" s="2" t="s">
        <v>16</v>
      </c>
      <c r="F38" s="2" t="n">
        <v>14</v>
      </c>
      <c r="G38" s="4" t="n">
        <v>1500</v>
      </c>
      <c r="H38" s="4" t="n">
        <v>900</v>
      </c>
      <c r="I38" s="4" t="n">
        <f aca="false">F38*G38</f>
        <v>21000</v>
      </c>
      <c r="J38" s="4" t="n">
        <f aca="false">F38*(G38-H38)</f>
        <v>8400</v>
      </c>
      <c r="K38" s="5" t="n">
        <f aca="false">(G38-H38)/G38</f>
        <v>0.4</v>
      </c>
    </row>
    <row r="39" customFormat="false" ht="15" hidden="false" customHeight="false" outlineLevel="0" collapsed="false">
      <c r="A39" s="6" t="n">
        <v>283</v>
      </c>
      <c r="B39" s="7" t="n">
        <v>45678</v>
      </c>
      <c r="C39" s="6" t="s">
        <v>14</v>
      </c>
      <c r="D39" s="6" t="s">
        <v>19</v>
      </c>
      <c r="E39" s="6" t="s">
        <v>13</v>
      </c>
      <c r="F39" s="6" t="n">
        <v>2</v>
      </c>
      <c r="G39" s="8" t="n">
        <v>15000</v>
      </c>
      <c r="H39" s="8" t="n">
        <v>7000</v>
      </c>
      <c r="I39" s="8" t="n">
        <f aca="false">F39*G39</f>
        <v>30000</v>
      </c>
      <c r="J39" s="8" t="n">
        <f aca="false">F39*(G39-H39)</f>
        <v>16000</v>
      </c>
      <c r="K39" s="9" t="n">
        <f aca="false">(G39-H39)/G39</f>
        <v>0.533333333333333</v>
      </c>
    </row>
    <row r="40" customFormat="false" ht="15" hidden="false" customHeight="false" outlineLevel="0" collapsed="false">
      <c r="A40" s="2" t="n">
        <v>266</v>
      </c>
      <c r="B40" s="3" t="n">
        <v>45678</v>
      </c>
      <c r="C40" s="2" t="s">
        <v>11</v>
      </c>
      <c r="D40" s="2" t="s">
        <v>25</v>
      </c>
      <c r="E40" s="2" t="s">
        <v>23</v>
      </c>
      <c r="F40" s="2" t="n">
        <v>4</v>
      </c>
      <c r="G40" s="4" t="n">
        <v>250000</v>
      </c>
      <c r="H40" s="4" t="n">
        <v>200000</v>
      </c>
      <c r="I40" s="4" t="n">
        <f aca="false">F40*G40</f>
        <v>1000000</v>
      </c>
      <c r="J40" s="4" t="n">
        <f aca="false">F40*(G40-H40)</f>
        <v>200000</v>
      </c>
      <c r="K40" s="5" t="n">
        <f aca="false">(G40-H40)/G40</f>
        <v>0.2</v>
      </c>
    </row>
    <row r="41" customFormat="false" ht="15" hidden="false" customHeight="false" outlineLevel="0" collapsed="false">
      <c r="A41" s="6" t="n">
        <v>65</v>
      </c>
      <c r="B41" s="7" t="n">
        <v>45679</v>
      </c>
      <c r="C41" s="6" t="s">
        <v>18</v>
      </c>
      <c r="D41" s="6" t="s">
        <v>19</v>
      </c>
      <c r="E41" s="6" t="s">
        <v>13</v>
      </c>
      <c r="F41" s="6" t="n">
        <v>1</v>
      </c>
      <c r="G41" s="8" t="n">
        <v>15000</v>
      </c>
      <c r="H41" s="8" t="n">
        <v>7000</v>
      </c>
      <c r="I41" s="8" t="n">
        <f aca="false">F41*G41</f>
        <v>15000</v>
      </c>
      <c r="J41" s="8" t="n">
        <f aca="false">F41*(G41-H41)</f>
        <v>8000</v>
      </c>
      <c r="K41" s="9" t="n">
        <f aca="false">(G41-H41)/G41</f>
        <v>0.533333333333333</v>
      </c>
    </row>
    <row r="42" customFormat="false" ht="15" hidden="false" customHeight="false" outlineLevel="0" collapsed="false">
      <c r="A42" s="2" t="n">
        <v>206</v>
      </c>
      <c r="B42" s="3" t="n">
        <v>45679</v>
      </c>
      <c r="C42" s="2" t="s">
        <v>11</v>
      </c>
      <c r="D42" s="2" t="s">
        <v>20</v>
      </c>
      <c r="E42" s="2" t="s">
        <v>16</v>
      </c>
      <c r="F42" s="2" t="n">
        <v>37</v>
      </c>
      <c r="G42" s="4" t="n">
        <v>18000</v>
      </c>
      <c r="H42" s="4" t="n">
        <v>14000</v>
      </c>
      <c r="I42" s="4" t="n">
        <f aca="false">F42*G42</f>
        <v>666000</v>
      </c>
      <c r="J42" s="4" t="n">
        <f aca="false">F42*(G42-H42)</f>
        <v>148000</v>
      </c>
      <c r="K42" s="5" t="n">
        <f aca="false">(G42-H42)/G42</f>
        <v>0.222222222222222</v>
      </c>
    </row>
    <row r="43" customFormat="false" ht="15" hidden="false" customHeight="false" outlineLevel="0" collapsed="false">
      <c r="A43" s="6" t="n">
        <v>167</v>
      </c>
      <c r="B43" s="7" t="n">
        <v>45680</v>
      </c>
      <c r="C43" s="6" t="s">
        <v>14</v>
      </c>
      <c r="D43" s="6" t="s">
        <v>12</v>
      </c>
      <c r="E43" s="6" t="s">
        <v>13</v>
      </c>
      <c r="F43" s="6" t="n">
        <v>2</v>
      </c>
      <c r="G43" s="8" t="n">
        <v>35000</v>
      </c>
      <c r="H43" s="8" t="n">
        <v>20000</v>
      </c>
      <c r="I43" s="8" t="n">
        <f aca="false">F43*G43</f>
        <v>70000</v>
      </c>
      <c r="J43" s="8" t="n">
        <f aca="false">F43*(G43-H43)</f>
        <v>30000</v>
      </c>
      <c r="K43" s="9" t="n">
        <f aca="false">(G43-H43)/G43</f>
        <v>0.428571428571429</v>
      </c>
    </row>
    <row r="44" customFormat="false" ht="15" hidden="false" customHeight="false" outlineLevel="0" collapsed="false">
      <c r="A44" s="2" t="n">
        <v>300</v>
      </c>
      <c r="B44" s="3" t="n">
        <v>45681</v>
      </c>
      <c r="C44" s="2" t="s">
        <v>18</v>
      </c>
      <c r="D44" s="2" t="s">
        <v>20</v>
      </c>
      <c r="E44" s="2" t="s">
        <v>16</v>
      </c>
      <c r="F44" s="2" t="n">
        <v>15</v>
      </c>
      <c r="G44" s="4" t="n">
        <v>18000</v>
      </c>
      <c r="H44" s="4" t="n">
        <v>14000</v>
      </c>
      <c r="I44" s="4" t="n">
        <f aca="false">F44*G44</f>
        <v>270000</v>
      </c>
      <c r="J44" s="4" t="n">
        <f aca="false">F44*(G44-H44)</f>
        <v>60000</v>
      </c>
      <c r="K44" s="5" t="n">
        <f aca="false">(G44-H44)/G44</f>
        <v>0.222222222222222</v>
      </c>
    </row>
    <row r="45" customFormat="false" ht="15" hidden="false" customHeight="false" outlineLevel="0" collapsed="false">
      <c r="A45" s="6" t="n">
        <v>108</v>
      </c>
      <c r="B45" s="7" t="n">
        <v>45681</v>
      </c>
      <c r="C45" s="6" t="s">
        <v>18</v>
      </c>
      <c r="D45" s="6" t="s">
        <v>21</v>
      </c>
      <c r="E45" s="6" t="s">
        <v>13</v>
      </c>
      <c r="F45" s="6" t="n">
        <v>2</v>
      </c>
      <c r="G45" s="8" t="n">
        <v>60000</v>
      </c>
      <c r="H45" s="8" t="n">
        <v>45000</v>
      </c>
      <c r="I45" s="8" t="n">
        <f aca="false">F45*G45</f>
        <v>120000</v>
      </c>
      <c r="J45" s="8" t="n">
        <f aca="false">F45*(G45-H45)</f>
        <v>30000</v>
      </c>
      <c r="K45" s="9" t="n">
        <f aca="false">(G45-H45)/G45</f>
        <v>0.25</v>
      </c>
    </row>
    <row r="46" customFormat="false" ht="15" hidden="false" customHeight="false" outlineLevel="0" collapsed="false">
      <c r="A46" s="2" t="n">
        <v>196</v>
      </c>
      <c r="B46" s="3" t="n">
        <v>45681</v>
      </c>
      <c r="C46" s="2" t="s">
        <v>18</v>
      </c>
      <c r="D46" s="2" t="s">
        <v>20</v>
      </c>
      <c r="E46" s="2" t="s">
        <v>16</v>
      </c>
      <c r="F46" s="2" t="n">
        <v>24</v>
      </c>
      <c r="G46" s="4" t="n">
        <v>18000</v>
      </c>
      <c r="H46" s="4" t="n">
        <v>14000</v>
      </c>
      <c r="I46" s="4" t="n">
        <f aca="false">F46*G46</f>
        <v>432000</v>
      </c>
      <c r="J46" s="4" t="n">
        <f aca="false">F46*(G46-H46)</f>
        <v>96000</v>
      </c>
      <c r="K46" s="5" t="n">
        <f aca="false">(G46-H46)/G46</f>
        <v>0.222222222222222</v>
      </c>
    </row>
    <row r="47" customFormat="false" ht="15" hidden="false" customHeight="false" outlineLevel="0" collapsed="false">
      <c r="A47" s="6" t="n">
        <v>249</v>
      </c>
      <c r="B47" s="7" t="n">
        <v>45682</v>
      </c>
      <c r="C47" s="6" t="s">
        <v>18</v>
      </c>
      <c r="D47" s="6" t="s">
        <v>20</v>
      </c>
      <c r="E47" s="6" t="s">
        <v>16</v>
      </c>
      <c r="F47" s="6" t="n">
        <v>37</v>
      </c>
      <c r="G47" s="8" t="n">
        <v>18000</v>
      </c>
      <c r="H47" s="8" t="n">
        <v>14000</v>
      </c>
      <c r="I47" s="8" t="n">
        <f aca="false">F47*G47</f>
        <v>666000</v>
      </c>
      <c r="J47" s="8" t="n">
        <f aca="false">F47*(G47-H47)</f>
        <v>148000</v>
      </c>
      <c r="K47" s="9" t="n">
        <f aca="false">(G47-H47)/G47</f>
        <v>0.222222222222222</v>
      </c>
    </row>
    <row r="48" customFormat="false" ht="15" hidden="false" customHeight="false" outlineLevel="0" collapsed="false">
      <c r="A48" s="2" t="n">
        <v>18</v>
      </c>
      <c r="B48" s="3" t="n">
        <v>45683</v>
      </c>
      <c r="C48" s="2" t="s">
        <v>14</v>
      </c>
      <c r="D48" s="2" t="s">
        <v>20</v>
      </c>
      <c r="E48" s="2" t="s">
        <v>16</v>
      </c>
      <c r="F48" s="2" t="n">
        <v>25</v>
      </c>
      <c r="G48" s="4" t="n">
        <v>18000</v>
      </c>
      <c r="H48" s="4" t="n">
        <v>14000</v>
      </c>
      <c r="I48" s="4" t="n">
        <f aca="false">F48*G48</f>
        <v>450000</v>
      </c>
      <c r="J48" s="4" t="n">
        <f aca="false">F48*(G48-H48)</f>
        <v>100000</v>
      </c>
      <c r="K48" s="5" t="n">
        <f aca="false">(G48-H48)/G48</f>
        <v>0.222222222222222</v>
      </c>
    </row>
    <row r="49" customFormat="false" ht="15" hidden="false" customHeight="false" outlineLevel="0" collapsed="false">
      <c r="A49" s="6" t="n">
        <v>84</v>
      </c>
      <c r="B49" s="7" t="n">
        <v>45684</v>
      </c>
      <c r="C49" s="6" t="s">
        <v>18</v>
      </c>
      <c r="D49" s="6" t="s">
        <v>17</v>
      </c>
      <c r="E49" s="6" t="s">
        <v>16</v>
      </c>
      <c r="F49" s="6" t="n">
        <v>11</v>
      </c>
      <c r="G49" s="8" t="n">
        <v>85000</v>
      </c>
      <c r="H49" s="8" t="n">
        <v>75000</v>
      </c>
      <c r="I49" s="8" t="n">
        <f aca="false">F49*G49</f>
        <v>935000</v>
      </c>
      <c r="J49" s="8" t="n">
        <f aca="false">F49*(G49-H49)</f>
        <v>110000</v>
      </c>
      <c r="K49" s="9" t="n">
        <f aca="false">(G49-H49)/G49</f>
        <v>0.117647058823529</v>
      </c>
    </row>
    <row r="50" customFormat="false" ht="15" hidden="false" customHeight="false" outlineLevel="0" collapsed="false">
      <c r="A50" s="2" t="n">
        <v>264</v>
      </c>
      <c r="B50" s="3" t="n">
        <v>45685</v>
      </c>
      <c r="C50" s="2" t="s">
        <v>11</v>
      </c>
      <c r="D50" s="2" t="s">
        <v>22</v>
      </c>
      <c r="E50" s="2" t="s">
        <v>23</v>
      </c>
      <c r="F50" s="2" t="n">
        <v>3</v>
      </c>
      <c r="G50" s="4" t="n">
        <v>600000</v>
      </c>
      <c r="H50" s="4" t="n">
        <v>520000</v>
      </c>
      <c r="I50" s="4" t="n">
        <f aca="false">F50*G50</f>
        <v>1800000</v>
      </c>
      <c r="J50" s="4" t="n">
        <f aca="false">F50*(G50-H50)</f>
        <v>240000</v>
      </c>
      <c r="K50" s="5" t="n">
        <f aca="false">(G50-H50)/G50</f>
        <v>0.133333333333333</v>
      </c>
    </row>
    <row r="51" customFormat="false" ht="15" hidden="false" customHeight="false" outlineLevel="0" collapsed="false">
      <c r="A51" s="6" t="n">
        <v>277</v>
      </c>
      <c r="B51" s="7" t="n">
        <v>45685</v>
      </c>
      <c r="C51" s="6" t="s">
        <v>18</v>
      </c>
      <c r="D51" s="6" t="s">
        <v>22</v>
      </c>
      <c r="E51" s="6" t="s">
        <v>23</v>
      </c>
      <c r="F51" s="6" t="n">
        <v>5</v>
      </c>
      <c r="G51" s="8" t="n">
        <v>600000</v>
      </c>
      <c r="H51" s="8" t="n">
        <v>520000</v>
      </c>
      <c r="I51" s="8" t="n">
        <f aca="false">F51*G51</f>
        <v>3000000</v>
      </c>
      <c r="J51" s="8" t="n">
        <f aca="false">F51*(G51-H51)</f>
        <v>400000</v>
      </c>
      <c r="K51" s="9" t="n">
        <f aca="false">(G51-H51)/G51</f>
        <v>0.133333333333333</v>
      </c>
    </row>
    <row r="52" customFormat="false" ht="15" hidden="false" customHeight="false" outlineLevel="0" collapsed="false">
      <c r="A52" s="2" t="n">
        <v>157</v>
      </c>
      <c r="B52" s="3" t="n">
        <v>45685</v>
      </c>
      <c r="C52" s="2" t="s">
        <v>11</v>
      </c>
      <c r="D52" s="2" t="s">
        <v>24</v>
      </c>
      <c r="E52" s="2" t="s">
        <v>23</v>
      </c>
      <c r="F52" s="2" t="n">
        <v>4</v>
      </c>
      <c r="G52" s="4" t="n">
        <v>40000</v>
      </c>
      <c r="H52" s="4" t="n">
        <v>25000</v>
      </c>
      <c r="I52" s="4" t="n">
        <f aca="false">F52*G52</f>
        <v>160000</v>
      </c>
      <c r="J52" s="4" t="n">
        <f aca="false">F52*(G52-H52)</f>
        <v>60000</v>
      </c>
      <c r="K52" s="5" t="n">
        <f aca="false">(G52-H52)/G52</f>
        <v>0.375</v>
      </c>
    </row>
    <row r="53" customFormat="false" ht="15" hidden="false" customHeight="false" outlineLevel="0" collapsed="false">
      <c r="A53" s="6" t="n">
        <v>248</v>
      </c>
      <c r="B53" s="7" t="n">
        <v>45687</v>
      </c>
      <c r="C53" s="6" t="s">
        <v>14</v>
      </c>
      <c r="D53" s="6" t="s">
        <v>12</v>
      </c>
      <c r="E53" s="6" t="s">
        <v>13</v>
      </c>
      <c r="F53" s="6" t="n">
        <v>1</v>
      </c>
      <c r="G53" s="8" t="n">
        <v>35000</v>
      </c>
      <c r="H53" s="8" t="n">
        <v>20000</v>
      </c>
      <c r="I53" s="8" t="n">
        <f aca="false">F53*G53</f>
        <v>35000</v>
      </c>
      <c r="J53" s="8" t="n">
        <f aca="false">F53*(G53-H53)</f>
        <v>15000</v>
      </c>
      <c r="K53" s="9" t="n">
        <f aca="false">(G53-H53)/G53</f>
        <v>0.428571428571429</v>
      </c>
    </row>
    <row r="54" customFormat="false" ht="15" hidden="false" customHeight="false" outlineLevel="0" collapsed="false">
      <c r="A54" s="2" t="n">
        <v>182</v>
      </c>
      <c r="B54" s="3" t="n">
        <v>45687</v>
      </c>
      <c r="C54" s="2" t="s">
        <v>14</v>
      </c>
      <c r="D54" s="2" t="s">
        <v>12</v>
      </c>
      <c r="E54" s="2" t="s">
        <v>13</v>
      </c>
      <c r="F54" s="2" t="n">
        <v>2</v>
      </c>
      <c r="G54" s="4" t="n">
        <v>35000</v>
      </c>
      <c r="H54" s="4" t="n">
        <v>20000</v>
      </c>
      <c r="I54" s="4" t="n">
        <f aca="false">F54*G54</f>
        <v>70000</v>
      </c>
      <c r="J54" s="4" t="n">
        <f aca="false">F54*(G54-H54)</f>
        <v>30000</v>
      </c>
      <c r="K54" s="5" t="n">
        <f aca="false">(G54-H54)/G54</f>
        <v>0.428571428571429</v>
      </c>
    </row>
    <row r="55" customFormat="false" ht="15" hidden="false" customHeight="false" outlineLevel="0" collapsed="false">
      <c r="A55" s="6" t="n">
        <v>17</v>
      </c>
      <c r="B55" s="7" t="n">
        <v>45688</v>
      </c>
      <c r="C55" s="6" t="s">
        <v>18</v>
      </c>
      <c r="D55" s="6" t="s">
        <v>20</v>
      </c>
      <c r="E55" s="6" t="s">
        <v>16</v>
      </c>
      <c r="F55" s="6" t="n">
        <v>42</v>
      </c>
      <c r="G55" s="8" t="n">
        <v>18000</v>
      </c>
      <c r="H55" s="8" t="n">
        <v>14000</v>
      </c>
      <c r="I55" s="8" t="n">
        <f aca="false">F55*G55</f>
        <v>756000</v>
      </c>
      <c r="J55" s="8" t="n">
        <f aca="false">F55*(G55-H55)</f>
        <v>168000</v>
      </c>
      <c r="K55" s="9" t="n">
        <f aca="false">(G55-H55)/G55</f>
        <v>0.222222222222222</v>
      </c>
    </row>
    <row r="56" customFormat="false" ht="15" hidden="false" customHeight="false" outlineLevel="0" collapsed="false">
      <c r="A56" s="2" t="n">
        <v>275</v>
      </c>
      <c r="B56" s="3" t="n">
        <v>45688</v>
      </c>
      <c r="C56" s="2" t="s">
        <v>11</v>
      </c>
      <c r="D56" s="2" t="s">
        <v>22</v>
      </c>
      <c r="E56" s="2" t="s">
        <v>23</v>
      </c>
      <c r="F56" s="2" t="n">
        <v>4</v>
      </c>
      <c r="G56" s="4" t="n">
        <v>600000</v>
      </c>
      <c r="H56" s="4" t="n">
        <v>520000</v>
      </c>
      <c r="I56" s="4" t="n">
        <f aca="false">F56*G56</f>
        <v>2400000</v>
      </c>
      <c r="J56" s="4" t="n">
        <f aca="false">F56*(G56-H56)</f>
        <v>320000</v>
      </c>
      <c r="K56" s="5" t="n">
        <f aca="false">(G56-H56)/G56</f>
        <v>0.133333333333333</v>
      </c>
    </row>
    <row r="57" customFormat="false" ht="15" hidden="false" customHeight="false" outlineLevel="0" collapsed="false">
      <c r="A57" s="6" t="n">
        <v>124</v>
      </c>
      <c r="B57" s="7" t="n">
        <v>45689</v>
      </c>
      <c r="C57" s="6" t="s">
        <v>18</v>
      </c>
      <c r="D57" s="6" t="s">
        <v>12</v>
      </c>
      <c r="E57" s="6" t="s">
        <v>13</v>
      </c>
      <c r="F57" s="6" t="n">
        <v>2</v>
      </c>
      <c r="G57" s="8" t="n">
        <v>35000</v>
      </c>
      <c r="H57" s="8" t="n">
        <v>20000</v>
      </c>
      <c r="I57" s="8" t="n">
        <f aca="false">F57*G57</f>
        <v>70000</v>
      </c>
      <c r="J57" s="8" t="n">
        <f aca="false">F57*(G57-H57)</f>
        <v>30000</v>
      </c>
      <c r="K57" s="9" t="n">
        <f aca="false">(G57-H57)/G57</f>
        <v>0.428571428571429</v>
      </c>
    </row>
    <row r="58" customFormat="false" ht="15" hidden="false" customHeight="false" outlineLevel="0" collapsed="false">
      <c r="A58" s="2" t="n">
        <v>56</v>
      </c>
      <c r="B58" s="3" t="n">
        <v>45691</v>
      </c>
      <c r="C58" s="2" t="s">
        <v>18</v>
      </c>
      <c r="D58" s="2" t="s">
        <v>24</v>
      </c>
      <c r="E58" s="2" t="s">
        <v>23</v>
      </c>
      <c r="F58" s="2" t="n">
        <v>5</v>
      </c>
      <c r="G58" s="4" t="n">
        <v>40000</v>
      </c>
      <c r="H58" s="4" t="n">
        <v>25000</v>
      </c>
      <c r="I58" s="4" t="n">
        <f aca="false">F58*G58</f>
        <v>200000</v>
      </c>
      <c r="J58" s="4" t="n">
        <f aca="false">F58*(G58-H58)</f>
        <v>75000</v>
      </c>
      <c r="K58" s="5" t="n">
        <f aca="false">(G58-H58)/G58</f>
        <v>0.375</v>
      </c>
    </row>
    <row r="59" customFormat="false" ht="15" hidden="false" customHeight="false" outlineLevel="0" collapsed="false">
      <c r="A59" s="6" t="n">
        <v>158</v>
      </c>
      <c r="B59" s="7" t="n">
        <v>45692</v>
      </c>
      <c r="C59" s="6" t="s">
        <v>14</v>
      </c>
      <c r="D59" s="6" t="s">
        <v>24</v>
      </c>
      <c r="E59" s="6" t="s">
        <v>23</v>
      </c>
      <c r="F59" s="6" t="n">
        <v>3</v>
      </c>
      <c r="G59" s="8" t="n">
        <v>40000</v>
      </c>
      <c r="H59" s="8" t="n">
        <v>25000</v>
      </c>
      <c r="I59" s="8" t="n">
        <f aca="false">F59*G59</f>
        <v>120000</v>
      </c>
      <c r="J59" s="8" t="n">
        <f aca="false">F59*(G59-H59)</f>
        <v>45000</v>
      </c>
      <c r="K59" s="9" t="n">
        <f aca="false">(G59-H59)/G59</f>
        <v>0.375</v>
      </c>
    </row>
    <row r="60" customFormat="false" ht="15" hidden="false" customHeight="false" outlineLevel="0" collapsed="false">
      <c r="A60" s="2" t="n">
        <v>119</v>
      </c>
      <c r="B60" s="3" t="n">
        <v>45692</v>
      </c>
      <c r="C60" s="2" t="s">
        <v>11</v>
      </c>
      <c r="D60" s="2" t="s">
        <v>25</v>
      </c>
      <c r="E60" s="2" t="s">
        <v>23</v>
      </c>
      <c r="F60" s="2" t="n">
        <v>5</v>
      </c>
      <c r="G60" s="4" t="n">
        <v>250000</v>
      </c>
      <c r="H60" s="4" t="n">
        <v>200000</v>
      </c>
      <c r="I60" s="4" t="n">
        <f aca="false">F60*G60</f>
        <v>1250000</v>
      </c>
      <c r="J60" s="4" t="n">
        <f aca="false">F60*(G60-H60)</f>
        <v>250000</v>
      </c>
      <c r="K60" s="5" t="n">
        <f aca="false">(G60-H60)/G60</f>
        <v>0.2</v>
      </c>
    </row>
    <row r="61" customFormat="false" ht="15" hidden="false" customHeight="false" outlineLevel="0" collapsed="false">
      <c r="A61" s="6" t="n">
        <v>58</v>
      </c>
      <c r="B61" s="7" t="n">
        <v>45692</v>
      </c>
      <c r="C61" s="6" t="s">
        <v>14</v>
      </c>
      <c r="D61" s="6" t="s">
        <v>22</v>
      </c>
      <c r="E61" s="6" t="s">
        <v>23</v>
      </c>
      <c r="F61" s="6" t="n">
        <v>2</v>
      </c>
      <c r="G61" s="8" t="n">
        <v>600000</v>
      </c>
      <c r="H61" s="8" t="n">
        <v>520000</v>
      </c>
      <c r="I61" s="8" t="n">
        <f aca="false">F61*G61</f>
        <v>1200000</v>
      </c>
      <c r="J61" s="8" t="n">
        <f aca="false">F61*(G61-H61)</f>
        <v>160000</v>
      </c>
      <c r="K61" s="9" t="n">
        <f aca="false">(G61-H61)/G61</f>
        <v>0.133333333333333</v>
      </c>
    </row>
    <row r="62" customFormat="false" ht="15" hidden="false" customHeight="false" outlineLevel="0" collapsed="false">
      <c r="A62" s="2" t="n">
        <v>106</v>
      </c>
      <c r="B62" s="3" t="n">
        <v>45693</v>
      </c>
      <c r="C62" s="2" t="s">
        <v>14</v>
      </c>
      <c r="D62" s="2" t="s">
        <v>24</v>
      </c>
      <c r="E62" s="2" t="s">
        <v>23</v>
      </c>
      <c r="F62" s="2" t="n">
        <v>2</v>
      </c>
      <c r="G62" s="4" t="n">
        <v>40000</v>
      </c>
      <c r="H62" s="4" t="n">
        <v>25000</v>
      </c>
      <c r="I62" s="4" t="n">
        <f aca="false">F62*G62</f>
        <v>80000</v>
      </c>
      <c r="J62" s="4" t="n">
        <f aca="false">F62*(G62-H62)</f>
        <v>30000</v>
      </c>
      <c r="K62" s="5" t="n">
        <f aca="false">(G62-H62)/G62</f>
        <v>0.375</v>
      </c>
    </row>
    <row r="63" customFormat="false" ht="15" hidden="false" customHeight="false" outlineLevel="0" collapsed="false">
      <c r="A63" s="6" t="n">
        <v>215</v>
      </c>
      <c r="B63" s="7" t="n">
        <v>45694</v>
      </c>
      <c r="C63" s="6" t="s">
        <v>11</v>
      </c>
      <c r="D63" s="6" t="s">
        <v>21</v>
      </c>
      <c r="E63" s="6" t="s">
        <v>13</v>
      </c>
      <c r="F63" s="6" t="n">
        <v>2</v>
      </c>
      <c r="G63" s="8" t="n">
        <v>60000</v>
      </c>
      <c r="H63" s="8" t="n">
        <v>45000</v>
      </c>
      <c r="I63" s="8" t="n">
        <f aca="false">F63*G63</f>
        <v>120000</v>
      </c>
      <c r="J63" s="8" t="n">
        <f aca="false">F63*(G63-H63)</f>
        <v>30000</v>
      </c>
      <c r="K63" s="9" t="n">
        <f aca="false">(G63-H63)/G63</f>
        <v>0.25</v>
      </c>
    </row>
    <row r="64" customFormat="false" ht="15" hidden="false" customHeight="false" outlineLevel="0" collapsed="false">
      <c r="A64" s="2" t="n">
        <v>173</v>
      </c>
      <c r="B64" s="3" t="n">
        <v>45694</v>
      </c>
      <c r="C64" s="2" t="s">
        <v>18</v>
      </c>
      <c r="D64" s="2" t="s">
        <v>24</v>
      </c>
      <c r="E64" s="2" t="s">
        <v>23</v>
      </c>
      <c r="F64" s="2" t="n">
        <v>1</v>
      </c>
      <c r="G64" s="4" t="n">
        <v>40000</v>
      </c>
      <c r="H64" s="4" t="n">
        <v>25000</v>
      </c>
      <c r="I64" s="4" t="n">
        <f aca="false">F64*G64</f>
        <v>40000</v>
      </c>
      <c r="J64" s="4" t="n">
        <f aca="false">F64*(G64-H64)</f>
        <v>15000</v>
      </c>
      <c r="K64" s="5" t="n">
        <f aca="false">(G64-H64)/G64</f>
        <v>0.375</v>
      </c>
    </row>
    <row r="65" customFormat="false" ht="15" hidden="false" customHeight="false" outlineLevel="0" collapsed="false">
      <c r="A65" s="6" t="n">
        <v>222</v>
      </c>
      <c r="B65" s="7" t="n">
        <v>45696</v>
      </c>
      <c r="C65" s="6" t="s">
        <v>11</v>
      </c>
      <c r="D65" s="6" t="s">
        <v>17</v>
      </c>
      <c r="E65" s="6" t="s">
        <v>16</v>
      </c>
      <c r="F65" s="6" t="n">
        <v>17</v>
      </c>
      <c r="G65" s="8" t="n">
        <v>85000</v>
      </c>
      <c r="H65" s="8" t="n">
        <v>75000</v>
      </c>
      <c r="I65" s="8" t="n">
        <f aca="false">F65*G65</f>
        <v>1445000</v>
      </c>
      <c r="J65" s="8" t="n">
        <f aca="false">F65*(G65-H65)</f>
        <v>170000</v>
      </c>
      <c r="K65" s="9" t="n">
        <f aca="false">(G65-H65)/G65</f>
        <v>0.117647058823529</v>
      </c>
    </row>
    <row r="66" customFormat="false" ht="15" hidden="false" customHeight="false" outlineLevel="0" collapsed="false">
      <c r="A66" s="2" t="n">
        <v>211</v>
      </c>
      <c r="B66" s="3" t="n">
        <v>45697</v>
      </c>
      <c r="C66" s="2" t="s">
        <v>11</v>
      </c>
      <c r="D66" s="2" t="s">
        <v>24</v>
      </c>
      <c r="E66" s="2" t="s">
        <v>23</v>
      </c>
      <c r="F66" s="2" t="n">
        <v>2</v>
      </c>
      <c r="G66" s="4" t="n">
        <v>40000</v>
      </c>
      <c r="H66" s="4" t="n">
        <v>25000</v>
      </c>
      <c r="I66" s="4" t="n">
        <f aca="false">F66*G66</f>
        <v>80000</v>
      </c>
      <c r="J66" s="4" t="n">
        <f aca="false">F66*(G66-H66)</f>
        <v>30000</v>
      </c>
      <c r="K66" s="5" t="n">
        <f aca="false">(G66-H66)/G66</f>
        <v>0.375</v>
      </c>
    </row>
    <row r="67" customFormat="false" ht="15" hidden="false" customHeight="false" outlineLevel="0" collapsed="false">
      <c r="A67" s="6" t="n">
        <v>74</v>
      </c>
      <c r="B67" s="7" t="n">
        <v>45698</v>
      </c>
      <c r="C67" s="6" t="s">
        <v>11</v>
      </c>
      <c r="D67" s="6" t="s">
        <v>17</v>
      </c>
      <c r="E67" s="6" t="s">
        <v>16</v>
      </c>
      <c r="F67" s="6" t="n">
        <v>18</v>
      </c>
      <c r="G67" s="8" t="n">
        <v>85000</v>
      </c>
      <c r="H67" s="8" t="n">
        <v>75000</v>
      </c>
      <c r="I67" s="8" t="n">
        <f aca="false">F67*G67</f>
        <v>1530000</v>
      </c>
      <c r="J67" s="8" t="n">
        <f aca="false">F67*(G67-H67)</f>
        <v>180000</v>
      </c>
      <c r="K67" s="9" t="n">
        <f aca="false">(G67-H67)/G67</f>
        <v>0.117647058823529</v>
      </c>
    </row>
    <row r="68" customFormat="false" ht="15" hidden="false" customHeight="false" outlineLevel="0" collapsed="false">
      <c r="A68" s="2" t="n">
        <v>250</v>
      </c>
      <c r="B68" s="3" t="n">
        <v>45698</v>
      </c>
      <c r="C68" s="2" t="s">
        <v>18</v>
      </c>
      <c r="D68" s="2" t="s">
        <v>15</v>
      </c>
      <c r="E68" s="2" t="s">
        <v>16</v>
      </c>
      <c r="F68" s="2" t="n">
        <v>47</v>
      </c>
      <c r="G68" s="4" t="n">
        <v>1500</v>
      </c>
      <c r="H68" s="4" t="n">
        <v>900</v>
      </c>
      <c r="I68" s="4" t="n">
        <f aca="false">F68*G68</f>
        <v>70500</v>
      </c>
      <c r="J68" s="4" t="n">
        <f aca="false">F68*(G68-H68)</f>
        <v>28200</v>
      </c>
      <c r="K68" s="5" t="n">
        <f aca="false">(G68-H68)/G68</f>
        <v>0.4</v>
      </c>
    </row>
    <row r="69" customFormat="false" ht="15" hidden="false" customHeight="false" outlineLevel="0" collapsed="false">
      <c r="A69" s="6" t="n">
        <v>289</v>
      </c>
      <c r="B69" s="7" t="n">
        <v>45698</v>
      </c>
      <c r="C69" s="6" t="s">
        <v>14</v>
      </c>
      <c r="D69" s="6" t="s">
        <v>19</v>
      </c>
      <c r="E69" s="6" t="s">
        <v>13</v>
      </c>
      <c r="F69" s="6" t="n">
        <v>2</v>
      </c>
      <c r="G69" s="8" t="n">
        <v>15000</v>
      </c>
      <c r="H69" s="8" t="n">
        <v>7000</v>
      </c>
      <c r="I69" s="8" t="n">
        <f aca="false">F69*G69</f>
        <v>30000</v>
      </c>
      <c r="J69" s="8" t="n">
        <f aca="false">F69*(G69-H69)</f>
        <v>16000</v>
      </c>
      <c r="K69" s="9" t="n">
        <f aca="false">(G69-H69)/G69</f>
        <v>0.533333333333333</v>
      </c>
    </row>
    <row r="70" customFormat="false" ht="15" hidden="false" customHeight="false" outlineLevel="0" collapsed="false">
      <c r="A70" s="2" t="n">
        <v>254</v>
      </c>
      <c r="B70" s="3" t="n">
        <v>45698</v>
      </c>
      <c r="C70" s="2" t="s">
        <v>18</v>
      </c>
      <c r="D70" s="2" t="s">
        <v>21</v>
      </c>
      <c r="E70" s="2" t="s">
        <v>13</v>
      </c>
      <c r="F70" s="2" t="n">
        <v>1</v>
      </c>
      <c r="G70" s="4" t="n">
        <v>60000</v>
      </c>
      <c r="H70" s="4" t="n">
        <v>45000</v>
      </c>
      <c r="I70" s="4" t="n">
        <f aca="false">F70*G70</f>
        <v>60000</v>
      </c>
      <c r="J70" s="4" t="n">
        <f aca="false">F70*(G70-H70)</f>
        <v>15000</v>
      </c>
      <c r="K70" s="5" t="n">
        <f aca="false">(G70-H70)/G70</f>
        <v>0.25</v>
      </c>
    </row>
    <row r="71" customFormat="false" ht="15" hidden="false" customHeight="false" outlineLevel="0" collapsed="false">
      <c r="A71" s="6" t="n">
        <v>197</v>
      </c>
      <c r="B71" s="7" t="n">
        <v>45698</v>
      </c>
      <c r="C71" s="6" t="s">
        <v>14</v>
      </c>
      <c r="D71" s="6" t="s">
        <v>24</v>
      </c>
      <c r="E71" s="6" t="s">
        <v>23</v>
      </c>
      <c r="F71" s="6" t="n">
        <v>2</v>
      </c>
      <c r="G71" s="8" t="n">
        <v>40000</v>
      </c>
      <c r="H71" s="8" t="n">
        <v>25000</v>
      </c>
      <c r="I71" s="8" t="n">
        <f aca="false">F71*G71</f>
        <v>80000</v>
      </c>
      <c r="J71" s="8" t="n">
        <f aca="false">F71*(G71-H71)</f>
        <v>30000</v>
      </c>
      <c r="K71" s="9" t="n">
        <f aca="false">(G71-H71)/G71</f>
        <v>0.375</v>
      </c>
    </row>
    <row r="72" customFormat="false" ht="15" hidden="false" customHeight="false" outlineLevel="0" collapsed="false">
      <c r="A72" s="2" t="n">
        <v>255</v>
      </c>
      <c r="B72" s="3" t="n">
        <v>45699</v>
      </c>
      <c r="C72" s="2" t="s">
        <v>18</v>
      </c>
      <c r="D72" s="2" t="s">
        <v>15</v>
      </c>
      <c r="E72" s="2" t="s">
        <v>16</v>
      </c>
      <c r="F72" s="2" t="n">
        <v>47</v>
      </c>
      <c r="G72" s="4" t="n">
        <v>1500</v>
      </c>
      <c r="H72" s="4" t="n">
        <v>900</v>
      </c>
      <c r="I72" s="4" t="n">
        <f aca="false">F72*G72</f>
        <v>70500</v>
      </c>
      <c r="J72" s="4" t="n">
        <f aca="false">F72*(G72-H72)</f>
        <v>28200</v>
      </c>
      <c r="K72" s="5" t="n">
        <f aca="false">(G72-H72)/G72</f>
        <v>0.4</v>
      </c>
    </row>
    <row r="73" customFormat="false" ht="15" hidden="false" customHeight="false" outlineLevel="0" collapsed="false">
      <c r="A73" s="6" t="n">
        <v>189</v>
      </c>
      <c r="B73" s="7" t="n">
        <v>45700</v>
      </c>
      <c r="C73" s="6" t="s">
        <v>18</v>
      </c>
      <c r="D73" s="6" t="s">
        <v>20</v>
      </c>
      <c r="E73" s="6" t="s">
        <v>16</v>
      </c>
      <c r="F73" s="6" t="n">
        <v>28</v>
      </c>
      <c r="G73" s="8" t="n">
        <v>18000</v>
      </c>
      <c r="H73" s="8" t="n">
        <v>14000</v>
      </c>
      <c r="I73" s="8" t="n">
        <f aca="false">F73*G73</f>
        <v>504000</v>
      </c>
      <c r="J73" s="8" t="n">
        <f aca="false">F73*(G73-H73)</f>
        <v>112000</v>
      </c>
      <c r="K73" s="9" t="n">
        <f aca="false">(G73-H73)/G73</f>
        <v>0.222222222222222</v>
      </c>
    </row>
    <row r="74" customFormat="false" ht="15" hidden="false" customHeight="false" outlineLevel="0" collapsed="false">
      <c r="A74" s="2" t="n">
        <v>199</v>
      </c>
      <c r="B74" s="3" t="n">
        <v>45703</v>
      </c>
      <c r="C74" s="2" t="s">
        <v>14</v>
      </c>
      <c r="D74" s="2" t="s">
        <v>17</v>
      </c>
      <c r="E74" s="2" t="s">
        <v>16</v>
      </c>
      <c r="F74" s="2" t="n">
        <v>18</v>
      </c>
      <c r="G74" s="4" t="n">
        <v>85000</v>
      </c>
      <c r="H74" s="4" t="n">
        <v>75000</v>
      </c>
      <c r="I74" s="4" t="n">
        <f aca="false">F74*G74</f>
        <v>1530000</v>
      </c>
      <c r="J74" s="4" t="n">
        <f aca="false">F74*(G74-H74)</f>
        <v>180000</v>
      </c>
      <c r="K74" s="5" t="n">
        <f aca="false">(G74-H74)/G74</f>
        <v>0.117647058823529</v>
      </c>
    </row>
    <row r="75" customFormat="false" ht="15" hidden="false" customHeight="false" outlineLevel="0" collapsed="false">
      <c r="A75" s="6" t="n">
        <v>137</v>
      </c>
      <c r="B75" s="7" t="n">
        <v>45704</v>
      </c>
      <c r="C75" s="6" t="s">
        <v>18</v>
      </c>
      <c r="D75" s="6" t="s">
        <v>24</v>
      </c>
      <c r="E75" s="6" t="s">
        <v>23</v>
      </c>
      <c r="F75" s="6" t="n">
        <v>5</v>
      </c>
      <c r="G75" s="8" t="n">
        <v>40000</v>
      </c>
      <c r="H75" s="8" t="n">
        <v>25000</v>
      </c>
      <c r="I75" s="8" t="n">
        <f aca="false">F75*G75</f>
        <v>200000</v>
      </c>
      <c r="J75" s="8" t="n">
        <f aca="false">F75*(G75-H75)</f>
        <v>75000</v>
      </c>
      <c r="K75" s="9" t="n">
        <f aca="false">(G75-H75)/G75</f>
        <v>0.375</v>
      </c>
    </row>
    <row r="76" customFormat="false" ht="15" hidden="false" customHeight="false" outlineLevel="0" collapsed="false">
      <c r="A76" s="2" t="n">
        <v>107</v>
      </c>
      <c r="B76" s="3" t="n">
        <v>45704</v>
      </c>
      <c r="C76" s="2" t="s">
        <v>11</v>
      </c>
      <c r="D76" s="2" t="s">
        <v>22</v>
      </c>
      <c r="E76" s="2" t="s">
        <v>23</v>
      </c>
      <c r="F76" s="2" t="n">
        <v>2</v>
      </c>
      <c r="G76" s="4" t="n">
        <v>600000</v>
      </c>
      <c r="H76" s="4" t="n">
        <v>520000</v>
      </c>
      <c r="I76" s="4" t="n">
        <f aca="false">F76*G76</f>
        <v>1200000</v>
      </c>
      <c r="J76" s="4" t="n">
        <f aca="false">F76*(G76-H76)</f>
        <v>160000</v>
      </c>
      <c r="K76" s="5" t="n">
        <f aca="false">(G76-H76)/G76</f>
        <v>0.133333333333333</v>
      </c>
    </row>
    <row r="77" customFormat="false" ht="15" hidden="false" customHeight="false" outlineLevel="0" collapsed="false">
      <c r="A77" s="6" t="n">
        <v>15</v>
      </c>
      <c r="B77" s="7" t="n">
        <v>45704</v>
      </c>
      <c r="C77" s="6" t="s">
        <v>11</v>
      </c>
      <c r="D77" s="6" t="s">
        <v>20</v>
      </c>
      <c r="E77" s="6" t="s">
        <v>16</v>
      </c>
      <c r="F77" s="6" t="n">
        <v>21</v>
      </c>
      <c r="G77" s="8" t="n">
        <v>18000</v>
      </c>
      <c r="H77" s="8" t="n">
        <v>14000</v>
      </c>
      <c r="I77" s="8" t="n">
        <f aca="false">F77*G77</f>
        <v>378000</v>
      </c>
      <c r="J77" s="8" t="n">
        <f aca="false">F77*(G77-H77)</f>
        <v>84000</v>
      </c>
      <c r="K77" s="9" t="n">
        <f aca="false">(G77-H77)/G77</f>
        <v>0.222222222222222</v>
      </c>
    </row>
    <row r="78" customFormat="false" ht="15" hidden="false" customHeight="false" outlineLevel="0" collapsed="false">
      <c r="A78" s="2" t="n">
        <v>233</v>
      </c>
      <c r="B78" s="3" t="n">
        <v>45704</v>
      </c>
      <c r="C78" s="2" t="s">
        <v>11</v>
      </c>
      <c r="D78" s="2" t="s">
        <v>19</v>
      </c>
      <c r="E78" s="2" t="s">
        <v>13</v>
      </c>
      <c r="F78" s="2" t="n">
        <v>2</v>
      </c>
      <c r="G78" s="4" t="n">
        <v>15000</v>
      </c>
      <c r="H78" s="4" t="n">
        <v>7000</v>
      </c>
      <c r="I78" s="4" t="n">
        <f aca="false">F78*G78</f>
        <v>30000</v>
      </c>
      <c r="J78" s="4" t="n">
        <f aca="false">F78*(G78-H78)</f>
        <v>16000</v>
      </c>
      <c r="K78" s="5" t="n">
        <f aca="false">(G78-H78)/G78</f>
        <v>0.533333333333333</v>
      </c>
    </row>
    <row r="79" customFormat="false" ht="15" hidden="false" customHeight="false" outlineLevel="0" collapsed="false">
      <c r="A79" s="6" t="n">
        <v>68</v>
      </c>
      <c r="B79" s="7" t="n">
        <v>45704</v>
      </c>
      <c r="C79" s="6" t="s">
        <v>14</v>
      </c>
      <c r="D79" s="6" t="s">
        <v>21</v>
      </c>
      <c r="E79" s="6" t="s">
        <v>13</v>
      </c>
      <c r="F79" s="6" t="n">
        <v>1</v>
      </c>
      <c r="G79" s="8" t="n">
        <v>60000</v>
      </c>
      <c r="H79" s="8" t="n">
        <v>45000</v>
      </c>
      <c r="I79" s="8" t="n">
        <f aca="false">F79*G79</f>
        <v>60000</v>
      </c>
      <c r="J79" s="8" t="n">
        <f aca="false">F79*(G79-H79)</f>
        <v>15000</v>
      </c>
      <c r="K79" s="9" t="n">
        <f aca="false">(G79-H79)/G79</f>
        <v>0.25</v>
      </c>
    </row>
    <row r="80" customFormat="false" ht="15" hidden="false" customHeight="false" outlineLevel="0" collapsed="false">
      <c r="A80" s="2" t="n">
        <v>80</v>
      </c>
      <c r="B80" s="3" t="n">
        <v>45705</v>
      </c>
      <c r="C80" s="2" t="s">
        <v>11</v>
      </c>
      <c r="D80" s="2" t="s">
        <v>12</v>
      </c>
      <c r="E80" s="2" t="s">
        <v>13</v>
      </c>
      <c r="F80" s="2" t="n">
        <v>1</v>
      </c>
      <c r="G80" s="4" t="n">
        <v>35000</v>
      </c>
      <c r="H80" s="4" t="n">
        <v>20000</v>
      </c>
      <c r="I80" s="4" t="n">
        <f aca="false">F80*G80</f>
        <v>35000</v>
      </c>
      <c r="J80" s="4" t="n">
        <f aca="false">F80*(G80-H80)</f>
        <v>15000</v>
      </c>
      <c r="K80" s="5" t="n">
        <f aca="false">(G80-H80)/G80</f>
        <v>0.428571428571429</v>
      </c>
    </row>
    <row r="81" customFormat="false" ht="15" hidden="false" customHeight="false" outlineLevel="0" collapsed="false">
      <c r="A81" s="6" t="n">
        <v>208</v>
      </c>
      <c r="B81" s="7" t="n">
        <v>45705</v>
      </c>
      <c r="C81" s="6" t="s">
        <v>11</v>
      </c>
      <c r="D81" s="6" t="s">
        <v>20</v>
      </c>
      <c r="E81" s="6" t="s">
        <v>16</v>
      </c>
      <c r="F81" s="6" t="n">
        <v>36</v>
      </c>
      <c r="G81" s="8" t="n">
        <v>18000</v>
      </c>
      <c r="H81" s="8" t="n">
        <v>14000</v>
      </c>
      <c r="I81" s="8" t="n">
        <f aca="false">F81*G81</f>
        <v>648000</v>
      </c>
      <c r="J81" s="8" t="n">
        <f aca="false">F81*(G81-H81)</f>
        <v>144000</v>
      </c>
      <c r="K81" s="9" t="n">
        <f aca="false">(G81-H81)/G81</f>
        <v>0.222222222222222</v>
      </c>
    </row>
    <row r="82" customFormat="false" ht="15" hidden="false" customHeight="false" outlineLevel="0" collapsed="false">
      <c r="A82" s="2" t="n">
        <v>62</v>
      </c>
      <c r="B82" s="3" t="n">
        <v>45705</v>
      </c>
      <c r="C82" s="2" t="s">
        <v>14</v>
      </c>
      <c r="D82" s="2" t="s">
        <v>17</v>
      </c>
      <c r="E82" s="2" t="s">
        <v>16</v>
      </c>
      <c r="F82" s="2" t="n">
        <v>38</v>
      </c>
      <c r="G82" s="4" t="n">
        <v>85000</v>
      </c>
      <c r="H82" s="4" t="n">
        <v>75000</v>
      </c>
      <c r="I82" s="4" t="n">
        <f aca="false">F82*G82</f>
        <v>3230000</v>
      </c>
      <c r="J82" s="4" t="n">
        <f aca="false">F82*(G82-H82)</f>
        <v>380000</v>
      </c>
      <c r="K82" s="5" t="n">
        <f aca="false">(G82-H82)/G82</f>
        <v>0.117647058823529</v>
      </c>
    </row>
    <row r="83" customFormat="false" ht="15" hidden="false" customHeight="false" outlineLevel="0" collapsed="false">
      <c r="A83" s="6" t="n">
        <v>282</v>
      </c>
      <c r="B83" s="7" t="n">
        <v>45706</v>
      </c>
      <c r="C83" s="6" t="s">
        <v>11</v>
      </c>
      <c r="D83" s="6" t="s">
        <v>21</v>
      </c>
      <c r="E83" s="6" t="s">
        <v>13</v>
      </c>
      <c r="F83" s="6" t="n">
        <v>3</v>
      </c>
      <c r="G83" s="8" t="n">
        <v>60000</v>
      </c>
      <c r="H83" s="8" t="n">
        <v>45000</v>
      </c>
      <c r="I83" s="8" t="n">
        <f aca="false">F83*G83</f>
        <v>180000</v>
      </c>
      <c r="J83" s="8" t="n">
        <f aca="false">F83*(G83-H83)</f>
        <v>45000</v>
      </c>
      <c r="K83" s="9" t="n">
        <f aca="false">(G83-H83)/G83</f>
        <v>0.25</v>
      </c>
    </row>
    <row r="84" customFormat="false" ht="15" hidden="false" customHeight="false" outlineLevel="0" collapsed="false">
      <c r="A84" s="2" t="n">
        <v>111</v>
      </c>
      <c r="B84" s="3" t="n">
        <v>45706</v>
      </c>
      <c r="C84" s="2" t="s">
        <v>18</v>
      </c>
      <c r="D84" s="2" t="s">
        <v>19</v>
      </c>
      <c r="E84" s="2" t="s">
        <v>13</v>
      </c>
      <c r="F84" s="2" t="n">
        <v>3</v>
      </c>
      <c r="G84" s="4" t="n">
        <v>15000</v>
      </c>
      <c r="H84" s="4" t="n">
        <v>7000</v>
      </c>
      <c r="I84" s="4" t="n">
        <f aca="false">F84*G84</f>
        <v>45000</v>
      </c>
      <c r="J84" s="4" t="n">
        <f aca="false">F84*(G84-H84)</f>
        <v>24000</v>
      </c>
      <c r="K84" s="5" t="n">
        <f aca="false">(G84-H84)/G84</f>
        <v>0.533333333333333</v>
      </c>
    </row>
    <row r="85" customFormat="false" ht="15" hidden="false" customHeight="false" outlineLevel="0" collapsed="false">
      <c r="A85" s="6" t="n">
        <v>70</v>
      </c>
      <c r="B85" s="7" t="n">
        <v>45707</v>
      </c>
      <c r="C85" s="6" t="s">
        <v>11</v>
      </c>
      <c r="D85" s="6" t="s">
        <v>15</v>
      </c>
      <c r="E85" s="6" t="s">
        <v>16</v>
      </c>
      <c r="F85" s="6" t="n">
        <v>37</v>
      </c>
      <c r="G85" s="8" t="n">
        <v>1500</v>
      </c>
      <c r="H85" s="8" t="n">
        <v>900</v>
      </c>
      <c r="I85" s="8" t="n">
        <f aca="false">F85*G85</f>
        <v>55500</v>
      </c>
      <c r="J85" s="8" t="n">
        <f aca="false">F85*(G85-H85)</f>
        <v>22200</v>
      </c>
      <c r="K85" s="9" t="n">
        <f aca="false">(G85-H85)/G85</f>
        <v>0.4</v>
      </c>
    </row>
    <row r="86" customFormat="false" ht="15" hidden="false" customHeight="false" outlineLevel="0" collapsed="false">
      <c r="A86" s="2" t="n">
        <v>236</v>
      </c>
      <c r="B86" s="3" t="n">
        <v>45711</v>
      </c>
      <c r="C86" s="2" t="s">
        <v>14</v>
      </c>
      <c r="D86" s="2" t="s">
        <v>12</v>
      </c>
      <c r="E86" s="2" t="s">
        <v>13</v>
      </c>
      <c r="F86" s="2" t="n">
        <v>1</v>
      </c>
      <c r="G86" s="4" t="n">
        <v>35000</v>
      </c>
      <c r="H86" s="4" t="n">
        <v>20000</v>
      </c>
      <c r="I86" s="4" t="n">
        <f aca="false">F86*G86</f>
        <v>35000</v>
      </c>
      <c r="J86" s="4" t="n">
        <f aca="false">F86*(G86-H86)</f>
        <v>15000</v>
      </c>
      <c r="K86" s="5" t="n">
        <f aca="false">(G86-H86)/G86</f>
        <v>0.428571428571429</v>
      </c>
    </row>
    <row r="87" customFormat="false" ht="15" hidden="false" customHeight="false" outlineLevel="0" collapsed="false">
      <c r="A87" s="6" t="n">
        <v>21</v>
      </c>
      <c r="B87" s="7" t="n">
        <v>45711</v>
      </c>
      <c r="C87" s="6" t="s">
        <v>14</v>
      </c>
      <c r="D87" s="6" t="s">
        <v>15</v>
      </c>
      <c r="E87" s="6" t="s">
        <v>16</v>
      </c>
      <c r="F87" s="6" t="n">
        <v>42</v>
      </c>
      <c r="G87" s="8" t="n">
        <v>1500</v>
      </c>
      <c r="H87" s="8" t="n">
        <v>900</v>
      </c>
      <c r="I87" s="8" t="n">
        <f aca="false">F87*G87</f>
        <v>63000</v>
      </c>
      <c r="J87" s="8" t="n">
        <f aca="false">F87*(G87-H87)</f>
        <v>25200</v>
      </c>
      <c r="K87" s="9" t="n">
        <f aca="false">(G87-H87)/G87</f>
        <v>0.4</v>
      </c>
    </row>
    <row r="88" customFormat="false" ht="15" hidden="false" customHeight="false" outlineLevel="0" collapsed="false">
      <c r="A88" s="2" t="n">
        <v>54</v>
      </c>
      <c r="B88" s="3" t="n">
        <v>45711</v>
      </c>
      <c r="C88" s="2" t="s">
        <v>18</v>
      </c>
      <c r="D88" s="2" t="s">
        <v>12</v>
      </c>
      <c r="E88" s="2" t="s">
        <v>13</v>
      </c>
      <c r="F88" s="2" t="n">
        <v>1</v>
      </c>
      <c r="G88" s="4" t="n">
        <v>35000</v>
      </c>
      <c r="H88" s="4" t="n">
        <v>20000</v>
      </c>
      <c r="I88" s="4" t="n">
        <f aca="false">F88*G88</f>
        <v>35000</v>
      </c>
      <c r="J88" s="4" t="n">
        <f aca="false">F88*(G88-H88)</f>
        <v>15000</v>
      </c>
      <c r="K88" s="5" t="n">
        <f aca="false">(G88-H88)/G88</f>
        <v>0.428571428571429</v>
      </c>
    </row>
    <row r="89" customFormat="false" ht="15" hidden="false" customHeight="false" outlineLevel="0" collapsed="false">
      <c r="A89" s="6" t="n">
        <v>32</v>
      </c>
      <c r="B89" s="7" t="n">
        <v>45713</v>
      </c>
      <c r="C89" s="6" t="s">
        <v>14</v>
      </c>
      <c r="D89" s="6" t="s">
        <v>20</v>
      </c>
      <c r="E89" s="6" t="s">
        <v>16</v>
      </c>
      <c r="F89" s="6" t="n">
        <v>43</v>
      </c>
      <c r="G89" s="8" t="n">
        <v>18000</v>
      </c>
      <c r="H89" s="8" t="n">
        <v>14000</v>
      </c>
      <c r="I89" s="8" t="n">
        <f aca="false">F89*G89</f>
        <v>774000</v>
      </c>
      <c r="J89" s="8" t="n">
        <f aca="false">F89*(G89-H89)</f>
        <v>172000</v>
      </c>
      <c r="K89" s="9" t="n">
        <f aca="false">(G89-H89)/G89</f>
        <v>0.222222222222222</v>
      </c>
    </row>
    <row r="90" customFormat="false" ht="15" hidden="false" customHeight="false" outlineLevel="0" collapsed="false">
      <c r="A90" s="2" t="n">
        <v>53</v>
      </c>
      <c r="B90" s="3" t="n">
        <v>45714</v>
      </c>
      <c r="C90" s="2" t="s">
        <v>14</v>
      </c>
      <c r="D90" s="2" t="s">
        <v>25</v>
      </c>
      <c r="E90" s="2" t="s">
        <v>23</v>
      </c>
      <c r="F90" s="2" t="n">
        <v>3</v>
      </c>
      <c r="G90" s="4" t="n">
        <v>250000</v>
      </c>
      <c r="H90" s="4" t="n">
        <v>200000</v>
      </c>
      <c r="I90" s="4" t="n">
        <f aca="false">F90*G90</f>
        <v>750000</v>
      </c>
      <c r="J90" s="4" t="n">
        <f aca="false">F90*(G90-H90)</f>
        <v>150000</v>
      </c>
      <c r="K90" s="5" t="n">
        <f aca="false">(G90-H90)/G90</f>
        <v>0.2</v>
      </c>
    </row>
    <row r="91" customFormat="false" ht="15" hidden="false" customHeight="false" outlineLevel="0" collapsed="false">
      <c r="A91" s="6" t="n">
        <v>79</v>
      </c>
      <c r="B91" s="7" t="n">
        <v>45716</v>
      </c>
      <c r="C91" s="6" t="s">
        <v>11</v>
      </c>
      <c r="D91" s="6" t="s">
        <v>22</v>
      </c>
      <c r="E91" s="6" t="s">
        <v>23</v>
      </c>
      <c r="F91" s="6" t="n">
        <v>5</v>
      </c>
      <c r="G91" s="8" t="n">
        <v>600000</v>
      </c>
      <c r="H91" s="8" t="n">
        <v>520000</v>
      </c>
      <c r="I91" s="8" t="n">
        <f aca="false">F91*G91</f>
        <v>3000000</v>
      </c>
      <c r="J91" s="8" t="n">
        <f aca="false">F91*(G91-H91)</f>
        <v>400000</v>
      </c>
      <c r="K91" s="9" t="n">
        <f aca="false">(G91-H91)/G91</f>
        <v>0.133333333333333</v>
      </c>
    </row>
    <row r="92" customFormat="false" ht="15" hidden="false" customHeight="false" outlineLevel="0" collapsed="false">
      <c r="A92" s="2" t="n">
        <v>120</v>
      </c>
      <c r="B92" s="3" t="n">
        <v>45716</v>
      </c>
      <c r="C92" s="2" t="s">
        <v>14</v>
      </c>
      <c r="D92" s="2" t="s">
        <v>17</v>
      </c>
      <c r="E92" s="2" t="s">
        <v>16</v>
      </c>
      <c r="F92" s="2" t="n">
        <v>5</v>
      </c>
      <c r="G92" s="4" t="n">
        <v>85000</v>
      </c>
      <c r="H92" s="4" t="n">
        <v>75000</v>
      </c>
      <c r="I92" s="4" t="n">
        <f aca="false">F92*G92</f>
        <v>425000</v>
      </c>
      <c r="J92" s="4" t="n">
        <f aca="false">F92*(G92-H92)</f>
        <v>50000</v>
      </c>
      <c r="K92" s="5" t="n">
        <f aca="false">(G92-H92)/G92</f>
        <v>0.117647058823529</v>
      </c>
    </row>
    <row r="93" customFormat="false" ht="15" hidden="false" customHeight="false" outlineLevel="0" collapsed="false">
      <c r="A93" s="6" t="n">
        <v>190</v>
      </c>
      <c r="B93" s="7" t="n">
        <v>45717</v>
      </c>
      <c r="C93" s="6" t="s">
        <v>18</v>
      </c>
      <c r="D93" s="6" t="s">
        <v>22</v>
      </c>
      <c r="E93" s="6" t="s">
        <v>23</v>
      </c>
      <c r="F93" s="6" t="n">
        <v>5</v>
      </c>
      <c r="G93" s="8" t="n">
        <v>600000</v>
      </c>
      <c r="H93" s="8" t="n">
        <v>520000</v>
      </c>
      <c r="I93" s="8" t="n">
        <f aca="false">F93*G93</f>
        <v>3000000</v>
      </c>
      <c r="J93" s="8" t="n">
        <f aca="false">F93*(G93-H93)</f>
        <v>400000</v>
      </c>
      <c r="K93" s="9" t="n">
        <f aca="false">(G93-H93)/G93</f>
        <v>0.133333333333333</v>
      </c>
    </row>
    <row r="94" customFormat="false" ht="15" hidden="false" customHeight="false" outlineLevel="0" collapsed="false">
      <c r="A94" s="2" t="n">
        <v>87</v>
      </c>
      <c r="B94" s="3" t="n">
        <v>45717</v>
      </c>
      <c r="C94" s="2" t="s">
        <v>14</v>
      </c>
      <c r="D94" s="2" t="s">
        <v>12</v>
      </c>
      <c r="E94" s="2" t="s">
        <v>13</v>
      </c>
      <c r="F94" s="2" t="n">
        <v>1</v>
      </c>
      <c r="G94" s="4" t="n">
        <v>35000</v>
      </c>
      <c r="H94" s="4" t="n">
        <v>20000</v>
      </c>
      <c r="I94" s="4" t="n">
        <f aca="false">F94*G94</f>
        <v>35000</v>
      </c>
      <c r="J94" s="4" t="n">
        <f aca="false">F94*(G94-H94)</f>
        <v>15000</v>
      </c>
      <c r="K94" s="5" t="n">
        <f aca="false">(G94-H94)/G94</f>
        <v>0.428571428571429</v>
      </c>
    </row>
    <row r="95" customFormat="false" ht="15" hidden="false" customHeight="false" outlineLevel="0" collapsed="false">
      <c r="A95" s="6" t="n">
        <v>241</v>
      </c>
      <c r="B95" s="7" t="n">
        <v>45718</v>
      </c>
      <c r="C95" s="6" t="s">
        <v>18</v>
      </c>
      <c r="D95" s="6" t="s">
        <v>22</v>
      </c>
      <c r="E95" s="6" t="s">
        <v>23</v>
      </c>
      <c r="F95" s="6" t="n">
        <v>2</v>
      </c>
      <c r="G95" s="8" t="n">
        <v>600000</v>
      </c>
      <c r="H95" s="8" t="n">
        <v>520000</v>
      </c>
      <c r="I95" s="8" t="n">
        <f aca="false">F95*G95</f>
        <v>1200000</v>
      </c>
      <c r="J95" s="8" t="n">
        <f aca="false">F95*(G95-H95)</f>
        <v>160000</v>
      </c>
      <c r="K95" s="9" t="n">
        <f aca="false">(G95-H95)/G95</f>
        <v>0.133333333333333</v>
      </c>
    </row>
    <row r="96" customFormat="false" ht="15" hidden="false" customHeight="false" outlineLevel="0" collapsed="false">
      <c r="A96" s="2" t="n">
        <v>288</v>
      </c>
      <c r="B96" s="3" t="n">
        <v>45718</v>
      </c>
      <c r="C96" s="2" t="s">
        <v>18</v>
      </c>
      <c r="D96" s="2" t="s">
        <v>20</v>
      </c>
      <c r="E96" s="2" t="s">
        <v>16</v>
      </c>
      <c r="F96" s="2" t="n">
        <v>22</v>
      </c>
      <c r="G96" s="4" t="n">
        <v>18000</v>
      </c>
      <c r="H96" s="4" t="n">
        <v>14000</v>
      </c>
      <c r="I96" s="4" t="n">
        <f aca="false">F96*G96</f>
        <v>396000</v>
      </c>
      <c r="J96" s="4" t="n">
        <f aca="false">F96*(G96-H96)</f>
        <v>88000</v>
      </c>
      <c r="K96" s="5" t="n">
        <f aca="false">(G96-H96)/G96</f>
        <v>0.222222222222222</v>
      </c>
    </row>
    <row r="97" customFormat="false" ht="15" hidden="false" customHeight="false" outlineLevel="0" collapsed="false">
      <c r="A97" s="6" t="n">
        <v>112</v>
      </c>
      <c r="B97" s="7" t="n">
        <v>45719</v>
      </c>
      <c r="C97" s="6" t="s">
        <v>11</v>
      </c>
      <c r="D97" s="6" t="s">
        <v>21</v>
      </c>
      <c r="E97" s="6" t="s">
        <v>13</v>
      </c>
      <c r="F97" s="6" t="n">
        <v>3</v>
      </c>
      <c r="G97" s="8" t="n">
        <v>60000</v>
      </c>
      <c r="H97" s="8" t="n">
        <v>45000</v>
      </c>
      <c r="I97" s="8" t="n">
        <f aca="false">F97*G97</f>
        <v>180000</v>
      </c>
      <c r="J97" s="8" t="n">
        <f aca="false">F97*(G97-H97)</f>
        <v>45000</v>
      </c>
      <c r="K97" s="9" t="n">
        <f aca="false">(G97-H97)/G97</f>
        <v>0.25</v>
      </c>
    </row>
    <row r="98" customFormat="false" ht="15" hidden="false" customHeight="false" outlineLevel="0" collapsed="false">
      <c r="A98" s="2" t="n">
        <v>28</v>
      </c>
      <c r="B98" s="3" t="n">
        <v>45719</v>
      </c>
      <c r="C98" s="2" t="s">
        <v>14</v>
      </c>
      <c r="D98" s="2" t="s">
        <v>24</v>
      </c>
      <c r="E98" s="2" t="s">
        <v>23</v>
      </c>
      <c r="F98" s="2" t="n">
        <v>5</v>
      </c>
      <c r="G98" s="4" t="n">
        <v>40000</v>
      </c>
      <c r="H98" s="4" t="n">
        <v>25000</v>
      </c>
      <c r="I98" s="4" t="n">
        <f aca="false">F98*G98</f>
        <v>200000</v>
      </c>
      <c r="J98" s="4" t="n">
        <f aca="false">F98*(G98-H98)</f>
        <v>75000</v>
      </c>
      <c r="K98" s="5" t="n">
        <f aca="false">(G98-H98)/G98</f>
        <v>0.375</v>
      </c>
    </row>
    <row r="99" customFormat="false" ht="15" hidden="false" customHeight="false" outlineLevel="0" collapsed="false">
      <c r="A99" s="6" t="n">
        <v>268</v>
      </c>
      <c r="B99" s="7" t="n">
        <v>45719</v>
      </c>
      <c r="C99" s="6" t="s">
        <v>18</v>
      </c>
      <c r="D99" s="6" t="s">
        <v>17</v>
      </c>
      <c r="E99" s="6" t="s">
        <v>16</v>
      </c>
      <c r="F99" s="6" t="n">
        <v>8</v>
      </c>
      <c r="G99" s="8" t="n">
        <v>85000</v>
      </c>
      <c r="H99" s="8" t="n">
        <v>75000</v>
      </c>
      <c r="I99" s="8" t="n">
        <f aca="false">F99*G99</f>
        <v>680000</v>
      </c>
      <c r="J99" s="8" t="n">
        <f aca="false">F99*(G99-H99)</f>
        <v>80000</v>
      </c>
      <c r="K99" s="9" t="n">
        <f aca="false">(G99-H99)/G99</f>
        <v>0.117647058823529</v>
      </c>
    </row>
    <row r="100" customFormat="false" ht="15" hidden="false" customHeight="false" outlineLevel="0" collapsed="false">
      <c r="A100" s="2" t="n">
        <v>86</v>
      </c>
      <c r="B100" s="3" t="n">
        <v>45720</v>
      </c>
      <c r="C100" s="2" t="s">
        <v>11</v>
      </c>
      <c r="D100" s="2" t="s">
        <v>12</v>
      </c>
      <c r="E100" s="2" t="s">
        <v>13</v>
      </c>
      <c r="F100" s="2" t="n">
        <v>2</v>
      </c>
      <c r="G100" s="4" t="n">
        <v>35000</v>
      </c>
      <c r="H100" s="4" t="n">
        <v>20000</v>
      </c>
      <c r="I100" s="4" t="n">
        <f aca="false">F100*G100</f>
        <v>70000</v>
      </c>
      <c r="J100" s="4" t="n">
        <f aca="false">F100*(G100-H100)</f>
        <v>30000</v>
      </c>
      <c r="K100" s="5" t="n">
        <f aca="false">(G100-H100)/G100</f>
        <v>0.428571428571429</v>
      </c>
    </row>
    <row r="101" customFormat="false" ht="15" hidden="false" customHeight="false" outlineLevel="0" collapsed="false">
      <c r="A101" s="6" t="n">
        <v>284</v>
      </c>
      <c r="B101" s="7" t="n">
        <v>45721</v>
      </c>
      <c r="C101" s="6" t="s">
        <v>11</v>
      </c>
      <c r="D101" s="6" t="s">
        <v>25</v>
      </c>
      <c r="E101" s="6" t="s">
        <v>23</v>
      </c>
      <c r="F101" s="6" t="n">
        <v>2</v>
      </c>
      <c r="G101" s="8" t="n">
        <v>250000</v>
      </c>
      <c r="H101" s="8" t="n">
        <v>200000</v>
      </c>
      <c r="I101" s="8" t="n">
        <f aca="false">F101*G101</f>
        <v>500000</v>
      </c>
      <c r="J101" s="8" t="n">
        <f aca="false">F101*(G101-H101)</f>
        <v>100000</v>
      </c>
      <c r="K101" s="9" t="n">
        <f aca="false">(G101-H101)/G101</f>
        <v>0.2</v>
      </c>
    </row>
    <row r="102" customFormat="false" ht="15" hidden="false" customHeight="false" outlineLevel="0" collapsed="false">
      <c r="A102" s="2" t="n">
        <v>153</v>
      </c>
      <c r="B102" s="3" t="n">
        <v>45721</v>
      </c>
      <c r="C102" s="2" t="s">
        <v>14</v>
      </c>
      <c r="D102" s="2" t="s">
        <v>17</v>
      </c>
      <c r="E102" s="2" t="s">
        <v>16</v>
      </c>
      <c r="F102" s="2" t="n">
        <v>28</v>
      </c>
      <c r="G102" s="4" t="n">
        <v>85000</v>
      </c>
      <c r="H102" s="4" t="n">
        <v>75000</v>
      </c>
      <c r="I102" s="4" t="n">
        <f aca="false">F102*G102</f>
        <v>2380000</v>
      </c>
      <c r="J102" s="4" t="n">
        <f aca="false">F102*(G102-H102)</f>
        <v>280000</v>
      </c>
      <c r="K102" s="5" t="n">
        <f aca="false">(G102-H102)/G102</f>
        <v>0.117647058823529</v>
      </c>
    </row>
    <row r="103" customFormat="false" ht="15" hidden="false" customHeight="false" outlineLevel="0" collapsed="false">
      <c r="A103" s="6" t="n">
        <v>279</v>
      </c>
      <c r="B103" s="7" t="n">
        <v>45722</v>
      </c>
      <c r="C103" s="6" t="s">
        <v>11</v>
      </c>
      <c r="D103" s="6" t="s">
        <v>25</v>
      </c>
      <c r="E103" s="6" t="s">
        <v>23</v>
      </c>
      <c r="F103" s="6" t="n">
        <v>3</v>
      </c>
      <c r="G103" s="8" t="n">
        <v>250000</v>
      </c>
      <c r="H103" s="8" t="n">
        <v>200000</v>
      </c>
      <c r="I103" s="8" t="n">
        <f aca="false">F103*G103</f>
        <v>750000</v>
      </c>
      <c r="J103" s="8" t="n">
        <f aca="false">F103*(G103-H103)</f>
        <v>150000</v>
      </c>
      <c r="K103" s="9" t="n">
        <f aca="false">(G103-H103)/G103</f>
        <v>0.2</v>
      </c>
    </row>
    <row r="104" customFormat="false" ht="15" hidden="false" customHeight="false" outlineLevel="0" collapsed="false">
      <c r="A104" s="2" t="n">
        <v>171</v>
      </c>
      <c r="B104" s="3" t="n">
        <v>45722</v>
      </c>
      <c r="C104" s="2" t="s">
        <v>14</v>
      </c>
      <c r="D104" s="2" t="s">
        <v>19</v>
      </c>
      <c r="E104" s="2" t="s">
        <v>13</v>
      </c>
      <c r="F104" s="2" t="n">
        <v>2</v>
      </c>
      <c r="G104" s="4" t="n">
        <v>15000</v>
      </c>
      <c r="H104" s="4" t="n">
        <v>7000</v>
      </c>
      <c r="I104" s="4" t="n">
        <f aca="false">F104*G104</f>
        <v>30000</v>
      </c>
      <c r="J104" s="4" t="n">
        <f aca="false">F104*(G104-H104)</f>
        <v>16000</v>
      </c>
      <c r="K104" s="5" t="n">
        <f aca="false">(G104-H104)/G104</f>
        <v>0.533333333333333</v>
      </c>
    </row>
    <row r="105" customFormat="false" ht="15" hidden="false" customHeight="false" outlineLevel="0" collapsed="false">
      <c r="A105" s="6" t="n">
        <v>297</v>
      </c>
      <c r="B105" s="7" t="n">
        <v>45723</v>
      </c>
      <c r="C105" s="6" t="s">
        <v>18</v>
      </c>
      <c r="D105" s="6" t="s">
        <v>12</v>
      </c>
      <c r="E105" s="6" t="s">
        <v>13</v>
      </c>
      <c r="F105" s="6" t="n">
        <v>3</v>
      </c>
      <c r="G105" s="8" t="n">
        <v>35000</v>
      </c>
      <c r="H105" s="8" t="n">
        <v>20000</v>
      </c>
      <c r="I105" s="8" t="n">
        <f aca="false">F105*G105</f>
        <v>105000</v>
      </c>
      <c r="J105" s="8" t="n">
        <f aca="false">F105*(G105-H105)</f>
        <v>45000</v>
      </c>
      <c r="K105" s="9" t="n">
        <f aca="false">(G105-H105)/G105</f>
        <v>0.428571428571429</v>
      </c>
    </row>
    <row r="106" customFormat="false" ht="15" hidden="false" customHeight="false" outlineLevel="0" collapsed="false">
      <c r="A106" s="2" t="n">
        <v>295</v>
      </c>
      <c r="B106" s="3" t="n">
        <v>45723</v>
      </c>
      <c r="C106" s="2" t="s">
        <v>14</v>
      </c>
      <c r="D106" s="2" t="s">
        <v>19</v>
      </c>
      <c r="E106" s="2" t="s">
        <v>13</v>
      </c>
      <c r="F106" s="2" t="n">
        <v>2</v>
      </c>
      <c r="G106" s="4" t="n">
        <v>15000</v>
      </c>
      <c r="H106" s="4" t="n">
        <v>7000</v>
      </c>
      <c r="I106" s="4" t="n">
        <f aca="false">F106*G106</f>
        <v>30000</v>
      </c>
      <c r="J106" s="4" t="n">
        <f aca="false">F106*(G106-H106)</f>
        <v>16000</v>
      </c>
      <c r="K106" s="5" t="n">
        <f aca="false">(G106-H106)/G106</f>
        <v>0.533333333333333</v>
      </c>
    </row>
    <row r="107" customFormat="false" ht="15" hidden="false" customHeight="false" outlineLevel="0" collapsed="false">
      <c r="A107" s="6" t="n">
        <v>178</v>
      </c>
      <c r="B107" s="7" t="n">
        <v>45723</v>
      </c>
      <c r="C107" s="6" t="s">
        <v>11</v>
      </c>
      <c r="D107" s="6" t="s">
        <v>22</v>
      </c>
      <c r="E107" s="6" t="s">
        <v>23</v>
      </c>
      <c r="F107" s="6" t="n">
        <v>3</v>
      </c>
      <c r="G107" s="8" t="n">
        <v>600000</v>
      </c>
      <c r="H107" s="8" t="n">
        <v>520000</v>
      </c>
      <c r="I107" s="8" t="n">
        <f aca="false">F107*G107</f>
        <v>1800000</v>
      </c>
      <c r="J107" s="8" t="n">
        <f aca="false">F107*(G107-H107)</f>
        <v>240000</v>
      </c>
      <c r="K107" s="9" t="n">
        <f aca="false">(G107-H107)/G107</f>
        <v>0.133333333333333</v>
      </c>
    </row>
    <row r="108" customFormat="false" ht="15" hidden="false" customHeight="false" outlineLevel="0" collapsed="false">
      <c r="A108" s="2" t="n">
        <v>301</v>
      </c>
      <c r="B108" s="3" t="n">
        <v>45724</v>
      </c>
      <c r="C108" s="2" t="s">
        <v>18</v>
      </c>
      <c r="D108" s="2" t="s">
        <v>12</v>
      </c>
      <c r="E108" s="2" t="s">
        <v>13</v>
      </c>
      <c r="F108" s="2" t="n">
        <v>10</v>
      </c>
      <c r="G108" s="4" t="n">
        <v>35000</v>
      </c>
      <c r="H108" s="4" t="n">
        <v>20000</v>
      </c>
      <c r="I108" s="4" t="n">
        <f aca="false">F108*G108</f>
        <v>350000</v>
      </c>
      <c r="J108" s="4" t="n">
        <f aca="false">F108*(G108-H108)</f>
        <v>150000</v>
      </c>
      <c r="K108" s="5" t="n">
        <f aca="false">(G108-H108)/G108</f>
        <v>0.428571428571429</v>
      </c>
    </row>
    <row r="109" customFormat="false" ht="15" hidden="false" customHeight="false" outlineLevel="0" collapsed="false">
      <c r="A109" s="6" t="n">
        <v>39</v>
      </c>
      <c r="B109" s="7" t="n">
        <v>45725</v>
      </c>
      <c r="C109" s="6" t="s">
        <v>18</v>
      </c>
      <c r="D109" s="6" t="s">
        <v>19</v>
      </c>
      <c r="E109" s="6" t="s">
        <v>13</v>
      </c>
      <c r="F109" s="6" t="n">
        <v>1</v>
      </c>
      <c r="G109" s="8" t="n">
        <v>15000</v>
      </c>
      <c r="H109" s="8" t="n">
        <v>7000</v>
      </c>
      <c r="I109" s="8" t="n">
        <f aca="false">F109*G109</f>
        <v>15000</v>
      </c>
      <c r="J109" s="8" t="n">
        <f aca="false">F109*(G109-H109)</f>
        <v>8000</v>
      </c>
      <c r="K109" s="9" t="n">
        <f aca="false">(G109-H109)/G109</f>
        <v>0.533333333333333</v>
      </c>
    </row>
    <row r="110" customFormat="false" ht="15" hidden="false" customHeight="false" outlineLevel="0" collapsed="false">
      <c r="A110" s="2" t="n">
        <v>302</v>
      </c>
      <c r="B110" s="3" t="n">
        <v>45725</v>
      </c>
      <c r="C110" s="2" t="s">
        <v>18</v>
      </c>
      <c r="D110" s="2" t="s">
        <v>21</v>
      </c>
      <c r="E110" s="2" t="s">
        <v>13</v>
      </c>
      <c r="F110" s="2" t="n">
        <v>15</v>
      </c>
      <c r="G110" s="4" t="n">
        <v>60000</v>
      </c>
      <c r="H110" s="4" t="n">
        <v>45000</v>
      </c>
      <c r="I110" s="4" t="n">
        <f aca="false">F110*G110</f>
        <v>900000</v>
      </c>
      <c r="J110" s="4" t="n">
        <f aca="false">F110*(G110-H110)</f>
        <v>225000</v>
      </c>
      <c r="K110" s="5" t="n">
        <f aca="false">(G110-H110)/G110</f>
        <v>0.25</v>
      </c>
    </row>
    <row r="111" customFormat="false" ht="15" hidden="false" customHeight="false" outlineLevel="0" collapsed="false">
      <c r="A111" s="6" t="n">
        <v>131</v>
      </c>
      <c r="B111" s="7" t="n">
        <v>45726</v>
      </c>
      <c r="C111" s="6" t="s">
        <v>11</v>
      </c>
      <c r="D111" s="6" t="s">
        <v>12</v>
      </c>
      <c r="E111" s="6" t="s">
        <v>13</v>
      </c>
      <c r="F111" s="6" t="n">
        <v>1</v>
      </c>
      <c r="G111" s="8" t="n">
        <v>35000</v>
      </c>
      <c r="H111" s="8" t="n">
        <v>20000</v>
      </c>
      <c r="I111" s="8" t="n">
        <f aca="false">F111*G111</f>
        <v>35000</v>
      </c>
      <c r="J111" s="8" t="n">
        <f aca="false">F111*(G111-H111)</f>
        <v>15000</v>
      </c>
      <c r="K111" s="9" t="n">
        <f aca="false">(G111-H111)/G111</f>
        <v>0.428571428571429</v>
      </c>
    </row>
    <row r="112" customFormat="false" ht="15" hidden="false" customHeight="false" outlineLevel="0" collapsed="false">
      <c r="A112" s="2" t="n">
        <v>303</v>
      </c>
      <c r="B112" s="3" t="n">
        <v>45726</v>
      </c>
      <c r="C112" s="2" t="s">
        <v>18</v>
      </c>
      <c r="D112" s="2" t="s">
        <v>19</v>
      </c>
      <c r="E112" s="2" t="s">
        <v>13</v>
      </c>
      <c r="F112" s="2" t="n">
        <v>30</v>
      </c>
      <c r="G112" s="4" t="n">
        <v>15000</v>
      </c>
      <c r="H112" s="4" t="n">
        <v>7000</v>
      </c>
      <c r="I112" s="4" t="n">
        <f aca="false">F112*G112</f>
        <v>450000</v>
      </c>
      <c r="J112" s="4" t="n">
        <f aca="false">F112*(G112-H112)</f>
        <v>240000</v>
      </c>
      <c r="K112" s="5" t="n">
        <f aca="false">(G112-H112)/G112</f>
        <v>0.533333333333333</v>
      </c>
    </row>
    <row r="113" customFormat="false" ht="15" hidden="false" customHeight="false" outlineLevel="0" collapsed="false">
      <c r="A113" s="6" t="n">
        <v>47</v>
      </c>
      <c r="B113" s="7" t="n">
        <v>45729</v>
      </c>
      <c r="C113" s="6" t="s">
        <v>18</v>
      </c>
      <c r="D113" s="6" t="s">
        <v>25</v>
      </c>
      <c r="E113" s="6" t="s">
        <v>23</v>
      </c>
      <c r="F113" s="6" t="n">
        <v>5</v>
      </c>
      <c r="G113" s="8" t="n">
        <v>250000</v>
      </c>
      <c r="H113" s="8" t="n">
        <v>200000</v>
      </c>
      <c r="I113" s="8" t="n">
        <f aca="false">F113*G113</f>
        <v>1250000</v>
      </c>
      <c r="J113" s="8" t="n">
        <f aca="false">F113*(G113-H113)</f>
        <v>250000</v>
      </c>
      <c r="K113" s="9" t="n">
        <f aca="false">(G113-H113)/G113</f>
        <v>0.2</v>
      </c>
    </row>
    <row r="114" customFormat="false" ht="15" hidden="false" customHeight="false" outlineLevel="0" collapsed="false">
      <c r="A114" s="2" t="n">
        <v>170</v>
      </c>
      <c r="B114" s="3" t="n">
        <v>45730</v>
      </c>
      <c r="C114" s="2" t="s">
        <v>14</v>
      </c>
      <c r="D114" s="2" t="s">
        <v>17</v>
      </c>
      <c r="E114" s="2" t="s">
        <v>16</v>
      </c>
      <c r="F114" s="2" t="n">
        <v>27</v>
      </c>
      <c r="G114" s="4" t="n">
        <v>85000</v>
      </c>
      <c r="H114" s="4" t="n">
        <v>75000</v>
      </c>
      <c r="I114" s="4" t="n">
        <f aca="false">F114*G114</f>
        <v>2295000</v>
      </c>
      <c r="J114" s="4" t="n">
        <f aca="false">F114*(G114-H114)</f>
        <v>270000</v>
      </c>
      <c r="K114" s="5" t="n">
        <f aca="false">(G114-H114)/G114</f>
        <v>0.117647058823529</v>
      </c>
    </row>
    <row r="115" customFormat="false" ht="15" hidden="false" customHeight="false" outlineLevel="0" collapsed="false">
      <c r="A115" s="6" t="n">
        <v>220</v>
      </c>
      <c r="B115" s="7" t="n">
        <v>45730</v>
      </c>
      <c r="C115" s="6" t="s">
        <v>14</v>
      </c>
      <c r="D115" s="6" t="s">
        <v>12</v>
      </c>
      <c r="E115" s="6" t="s">
        <v>13</v>
      </c>
      <c r="F115" s="6" t="n">
        <v>1</v>
      </c>
      <c r="G115" s="8" t="n">
        <v>35000</v>
      </c>
      <c r="H115" s="8" t="n">
        <v>20000</v>
      </c>
      <c r="I115" s="8" t="n">
        <f aca="false">F115*G115</f>
        <v>35000</v>
      </c>
      <c r="J115" s="8" t="n">
        <f aca="false">F115*(G115-H115)</f>
        <v>15000</v>
      </c>
      <c r="K115" s="9" t="n">
        <f aca="false">(G115-H115)/G115</f>
        <v>0.428571428571429</v>
      </c>
    </row>
    <row r="116" customFormat="false" ht="15" hidden="false" customHeight="false" outlineLevel="0" collapsed="false">
      <c r="A116" s="2" t="n">
        <v>285</v>
      </c>
      <c r="B116" s="3" t="n">
        <v>45731</v>
      </c>
      <c r="C116" s="2" t="s">
        <v>14</v>
      </c>
      <c r="D116" s="2" t="s">
        <v>22</v>
      </c>
      <c r="E116" s="2" t="s">
        <v>23</v>
      </c>
      <c r="F116" s="2" t="n">
        <v>2</v>
      </c>
      <c r="G116" s="4" t="n">
        <v>600000</v>
      </c>
      <c r="H116" s="4" t="n">
        <v>520000</v>
      </c>
      <c r="I116" s="4" t="n">
        <f aca="false">F116*G116</f>
        <v>1200000</v>
      </c>
      <c r="J116" s="4" t="n">
        <f aca="false">F116*(G116-H116)</f>
        <v>160000</v>
      </c>
      <c r="K116" s="5" t="n">
        <f aca="false">(G116-H116)/G116</f>
        <v>0.133333333333333</v>
      </c>
    </row>
    <row r="117" customFormat="false" ht="15" hidden="false" customHeight="false" outlineLevel="0" collapsed="false">
      <c r="A117" s="6" t="n">
        <v>42</v>
      </c>
      <c r="B117" s="7" t="n">
        <v>45731</v>
      </c>
      <c r="C117" s="6" t="s">
        <v>18</v>
      </c>
      <c r="D117" s="6" t="s">
        <v>25</v>
      </c>
      <c r="E117" s="6" t="s">
        <v>23</v>
      </c>
      <c r="F117" s="6" t="n">
        <v>5</v>
      </c>
      <c r="G117" s="8" t="n">
        <v>250000</v>
      </c>
      <c r="H117" s="8" t="n">
        <v>200000</v>
      </c>
      <c r="I117" s="8" t="n">
        <f aca="false">F117*G117</f>
        <v>1250000</v>
      </c>
      <c r="J117" s="8" t="n">
        <f aca="false">F117*(G117-H117)</f>
        <v>250000</v>
      </c>
      <c r="K117" s="9" t="n">
        <f aca="false">(G117-H117)/G117</f>
        <v>0.2</v>
      </c>
    </row>
    <row r="118" customFormat="false" ht="15" hidden="false" customHeight="false" outlineLevel="0" collapsed="false">
      <c r="A118" s="2" t="n">
        <v>25</v>
      </c>
      <c r="B118" s="3" t="n">
        <v>45732</v>
      </c>
      <c r="C118" s="2" t="s">
        <v>14</v>
      </c>
      <c r="D118" s="2" t="s">
        <v>20</v>
      </c>
      <c r="E118" s="2" t="s">
        <v>16</v>
      </c>
      <c r="F118" s="2" t="n">
        <v>19</v>
      </c>
      <c r="G118" s="4" t="n">
        <v>18000</v>
      </c>
      <c r="H118" s="4" t="n">
        <v>14000</v>
      </c>
      <c r="I118" s="4" t="n">
        <f aca="false">F118*G118</f>
        <v>342000</v>
      </c>
      <c r="J118" s="4" t="n">
        <f aca="false">F118*(G118-H118)</f>
        <v>76000</v>
      </c>
      <c r="K118" s="5" t="n">
        <f aca="false">(G118-H118)/G118</f>
        <v>0.222222222222222</v>
      </c>
    </row>
    <row r="119" customFormat="false" ht="15" hidden="false" customHeight="false" outlineLevel="0" collapsed="false">
      <c r="A119" s="6" t="n">
        <v>129</v>
      </c>
      <c r="B119" s="7" t="n">
        <v>45733</v>
      </c>
      <c r="C119" s="6" t="s">
        <v>18</v>
      </c>
      <c r="D119" s="6" t="s">
        <v>17</v>
      </c>
      <c r="E119" s="6" t="s">
        <v>16</v>
      </c>
      <c r="F119" s="6" t="n">
        <v>39</v>
      </c>
      <c r="G119" s="8" t="n">
        <v>85000</v>
      </c>
      <c r="H119" s="8" t="n">
        <v>75000</v>
      </c>
      <c r="I119" s="8" t="n">
        <f aca="false">F119*G119</f>
        <v>3315000</v>
      </c>
      <c r="J119" s="8" t="n">
        <f aca="false">F119*(G119-H119)</f>
        <v>390000</v>
      </c>
      <c r="K119" s="9" t="n">
        <f aca="false">(G119-H119)/G119</f>
        <v>0.117647058823529</v>
      </c>
    </row>
    <row r="120" customFormat="false" ht="15" hidden="false" customHeight="false" outlineLevel="0" collapsed="false">
      <c r="A120" s="2" t="n">
        <v>159</v>
      </c>
      <c r="B120" s="3" t="n">
        <v>45733</v>
      </c>
      <c r="C120" s="2" t="s">
        <v>14</v>
      </c>
      <c r="D120" s="2" t="s">
        <v>19</v>
      </c>
      <c r="E120" s="2" t="s">
        <v>13</v>
      </c>
      <c r="F120" s="2" t="n">
        <v>2</v>
      </c>
      <c r="G120" s="4" t="n">
        <v>15000</v>
      </c>
      <c r="H120" s="4" t="n">
        <v>7000</v>
      </c>
      <c r="I120" s="4" t="n">
        <f aca="false">F120*G120</f>
        <v>30000</v>
      </c>
      <c r="J120" s="4" t="n">
        <f aca="false">F120*(G120-H120)</f>
        <v>16000</v>
      </c>
      <c r="K120" s="5" t="n">
        <f aca="false">(G120-H120)/G120</f>
        <v>0.533333333333333</v>
      </c>
    </row>
    <row r="121" customFormat="false" ht="15" hidden="false" customHeight="false" outlineLevel="0" collapsed="false">
      <c r="A121" s="6" t="n">
        <v>240</v>
      </c>
      <c r="B121" s="7" t="n">
        <v>45734</v>
      </c>
      <c r="C121" s="6" t="s">
        <v>18</v>
      </c>
      <c r="D121" s="6" t="s">
        <v>20</v>
      </c>
      <c r="E121" s="6" t="s">
        <v>16</v>
      </c>
      <c r="F121" s="6" t="n">
        <v>8</v>
      </c>
      <c r="G121" s="8" t="n">
        <v>18000</v>
      </c>
      <c r="H121" s="8" t="n">
        <v>14000</v>
      </c>
      <c r="I121" s="8" t="n">
        <f aca="false">F121*G121</f>
        <v>144000</v>
      </c>
      <c r="J121" s="8" t="n">
        <f aca="false">F121*(G121-H121)</f>
        <v>32000</v>
      </c>
      <c r="K121" s="9" t="n">
        <f aca="false">(G121-H121)/G121</f>
        <v>0.222222222222222</v>
      </c>
    </row>
    <row r="122" customFormat="false" ht="15" hidden="false" customHeight="false" outlineLevel="0" collapsed="false">
      <c r="A122" s="2" t="n">
        <v>73</v>
      </c>
      <c r="B122" s="3" t="n">
        <v>45734</v>
      </c>
      <c r="C122" s="2" t="s">
        <v>14</v>
      </c>
      <c r="D122" s="2" t="s">
        <v>15</v>
      </c>
      <c r="E122" s="2" t="s">
        <v>16</v>
      </c>
      <c r="F122" s="2" t="n">
        <v>41</v>
      </c>
      <c r="G122" s="4" t="n">
        <v>1500</v>
      </c>
      <c r="H122" s="4" t="n">
        <v>900</v>
      </c>
      <c r="I122" s="4" t="n">
        <f aca="false">F122*G122</f>
        <v>61500</v>
      </c>
      <c r="J122" s="4" t="n">
        <f aca="false">F122*(G122-H122)</f>
        <v>24600</v>
      </c>
      <c r="K122" s="5" t="n">
        <f aca="false">(G122-H122)/G122</f>
        <v>0.4</v>
      </c>
    </row>
    <row r="123" customFormat="false" ht="15" hidden="false" customHeight="false" outlineLevel="0" collapsed="false">
      <c r="A123" s="6" t="n">
        <v>122</v>
      </c>
      <c r="B123" s="7" t="n">
        <v>45734</v>
      </c>
      <c r="C123" s="6" t="s">
        <v>14</v>
      </c>
      <c r="D123" s="6" t="s">
        <v>25</v>
      </c>
      <c r="E123" s="6" t="s">
        <v>23</v>
      </c>
      <c r="F123" s="6" t="n">
        <v>4</v>
      </c>
      <c r="G123" s="8" t="n">
        <v>250000</v>
      </c>
      <c r="H123" s="8" t="n">
        <v>200000</v>
      </c>
      <c r="I123" s="8" t="n">
        <f aca="false">F123*G123</f>
        <v>1000000</v>
      </c>
      <c r="J123" s="8" t="n">
        <f aca="false">F123*(G123-H123)</f>
        <v>200000</v>
      </c>
      <c r="K123" s="9" t="n">
        <f aca="false">(G123-H123)/G123</f>
        <v>0.2</v>
      </c>
    </row>
    <row r="124" customFormat="false" ht="15" hidden="false" customHeight="false" outlineLevel="0" collapsed="false">
      <c r="A124" s="2" t="n">
        <v>60</v>
      </c>
      <c r="B124" s="3" t="n">
        <v>45734</v>
      </c>
      <c r="C124" s="2" t="s">
        <v>11</v>
      </c>
      <c r="D124" s="2" t="s">
        <v>20</v>
      </c>
      <c r="E124" s="2" t="s">
        <v>16</v>
      </c>
      <c r="F124" s="2" t="n">
        <v>12</v>
      </c>
      <c r="G124" s="4" t="n">
        <v>18000</v>
      </c>
      <c r="H124" s="4" t="n">
        <v>14000</v>
      </c>
      <c r="I124" s="4" t="n">
        <f aca="false">F124*G124</f>
        <v>216000</v>
      </c>
      <c r="J124" s="4" t="n">
        <f aca="false">F124*(G124-H124)</f>
        <v>48000</v>
      </c>
      <c r="K124" s="5" t="n">
        <f aca="false">(G124-H124)/G124</f>
        <v>0.222222222222222</v>
      </c>
    </row>
    <row r="125" customFormat="false" ht="15" hidden="false" customHeight="false" outlineLevel="0" collapsed="false">
      <c r="A125" s="6" t="n">
        <v>19</v>
      </c>
      <c r="B125" s="7" t="n">
        <v>45734</v>
      </c>
      <c r="C125" s="6" t="s">
        <v>14</v>
      </c>
      <c r="D125" s="6" t="s">
        <v>19</v>
      </c>
      <c r="E125" s="6" t="s">
        <v>13</v>
      </c>
      <c r="F125" s="6" t="n">
        <v>1</v>
      </c>
      <c r="G125" s="8" t="n">
        <v>15000</v>
      </c>
      <c r="H125" s="8" t="n">
        <v>7000</v>
      </c>
      <c r="I125" s="8" t="n">
        <f aca="false">F125*G125</f>
        <v>15000</v>
      </c>
      <c r="J125" s="8" t="n">
        <f aca="false">F125*(G125-H125)</f>
        <v>8000</v>
      </c>
      <c r="K125" s="9" t="n">
        <f aca="false">(G125-H125)/G125</f>
        <v>0.533333333333333</v>
      </c>
    </row>
    <row r="126" customFormat="false" ht="15" hidden="false" customHeight="false" outlineLevel="0" collapsed="false">
      <c r="A126" s="2" t="n">
        <v>257</v>
      </c>
      <c r="B126" s="3" t="n">
        <v>45735</v>
      </c>
      <c r="C126" s="2" t="s">
        <v>18</v>
      </c>
      <c r="D126" s="2" t="s">
        <v>19</v>
      </c>
      <c r="E126" s="2" t="s">
        <v>13</v>
      </c>
      <c r="F126" s="2" t="n">
        <v>2</v>
      </c>
      <c r="G126" s="4" t="n">
        <v>15000</v>
      </c>
      <c r="H126" s="4" t="n">
        <v>7000</v>
      </c>
      <c r="I126" s="4" t="n">
        <f aca="false">F126*G126</f>
        <v>30000</v>
      </c>
      <c r="J126" s="4" t="n">
        <f aca="false">F126*(G126-H126)</f>
        <v>16000</v>
      </c>
      <c r="K126" s="5" t="n">
        <f aca="false">(G126-H126)/G126</f>
        <v>0.533333333333333</v>
      </c>
    </row>
    <row r="127" customFormat="false" ht="15" hidden="false" customHeight="false" outlineLevel="0" collapsed="false">
      <c r="A127" s="6" t="n">
        <v>192</v>
      </c>
      <c r="B127" s="7" t="n">
        <v>45735</v>
      </c>
      <c r="C127" s="6" t="s">
        <v>18</v>
      </c>
      <c r="D127" s="6" t="s">
        <v>17</v>
      </c>
      <c r="E127" s="6" t="s">
        <v>16</v>
      </c>
      <c r="F127" s="6" t="n">
        <v>44</v>
      </c>
      <c r="G127" s="8" t="n">
        <v>85000</v>
      </c>
      <c r="H127" s="8" t="n">
        <v>75000</v>
      </c>
      <c r="I127" s="8" t="n">
        <f aca="false">F127*G127</f>
        <v>3740000</v>
      </c>
      <c r="J127" s="8" t="n">
        <f aca="false">F127*(G127-H127)</f>
        <v>440000</v>
      </c>
      <c r="K127" s="9" t="n">
        <f aca="false">(G127-H127)/G127</f>
        <v>0.117647058823529</v>
      </c>
    </row>
    <row r="128" customFormat="false" ht="15" hidden="false" customHeight="false" outlineLevel="0" collapsed="false">
      <c r="A128" s="2" t="n">
        <v>263</v>
      </c>
      <c r="B128" s="3" t="n">
        <v>45737</v>
      </c>
      <c r="C128" s="2" t="s">
        <v>14</v>
      </c>
      <c r="D128" s="2" t="s">
        <v>17</v>
      </c>
      <c r="E128" s="2" t="s">
        <v>16</v>
      </c>
      <c r="F128" s="2" t="n">
        <v>32</v>
      </c>
      <c r="G128" s="4" t="n">
        <v>85000</v>
      </c>
      <c r="H128" s="4" t="n">
        <v>75000</v>
      </c>
      <c r="I128" s="4" t="n">
        <f aca="false">F128*G128</f>
        <v>2720000</v>
      </c>
      <c r="J128" s="4" t="n">
        <f aca="false">F128*(G128-H128)</f>
        <v>320000</v>
      </c>
      <c r="K128" s="5" t="n">
        <f aca="false">(G128-H128)/G128</f>
        <v>0.117647058823529</v>
      </c>
    </row>
    <row r="129" customFormat="false" ht="15" hidden="false" customHeight="false" outlineLevel="0" collapsed="false">
      <c r="A129" s="6" t="n">
        <v>48</v>
      </c>
      <c r="B129" s="7" t="n">
        <v>45737</v>
      </c>
      <c r="C129" s="6" t="s">
        <v>14</v>
      </c>
      <c r="D129" s="6" t="s">
        <v>19</v>
      </c>
      <c r="E129" s="6" t="s">
        <v>13</v>
      </c>
      <c r="F129" s="6" t="n">
        <v>3</v>
      </c>
      <c r="G129" s="8" t="n">
        <v>15000</v>
      </c>
      <c r="H129" s="8" t="n">
        <v>7000</v>
      </c>
      <c r="I129" s="8" t="n">
        <f aca="false">F129*G129</f>
        <v>45000</v>
      </c>
      <c r="J129" s="8" t="n">
        <f aca="false">F129*(G129-H129)</f>
        <v>24000</v>
      </c>
      <c r="K129" s="9" t="n">
        <f aca="false">(G129-H129)/G129</f>
        <v>0.533333333333333</v>
      </c>
    </row>
    <row r="130" customFormat="false" ht="15" hidden="false" customHeight="false" outlineLevel="0" collapsed="false">
      <c r="A130" s="2" t="n">
        <v>217</v>
      </c>
      <c r="B130" s="3" t="n">
        <v>45739</v>
      </c>
      <c r="C130" s="2" t="s">
        <v>18</v>
      </c>
      <c r="D130" s="2" t="s">
        <v>12</v>
      </c>
      <c r="E130" s="2" t="s">
        <v>13</v>
      </c>
      <c r="F130" s="2" t="n">
        <v>2</v>
      </c>
      <c r="G130" s="4" t="n">
        <v>35000</v>
      </c>
      <c r="H130" s="4" t="n">
        <v>20000</v>
      </c>
      <c r="I130" s="4" t="n">
        <f aca="false">F130*G130</f>
        <v>70000</v>
      </c>
      <c r="J130" s="4" t="n">
        <f aca="false">F130*(G130-H130)</f>
        <v>30000</v>
      </c>
      <c r="K130" s="5" t="n">
        <f aca="false">(G130-H130)/G130</f>
        <v>0.428571428571429</v>
      </c>
    </row>
    <row r="131" customFormat="false" ht="15" hidden="false" customHeight="false" outlineLevel="0" collapsed="false">
      <c r="A131" s="6" t="n">
        <v>223</v>
      </c>
      <c r="B131" s="7" t="n">
        <v>45739</v>
      </c>
      <c r="C131" s="6" t="s">
        <v>14</v>
      </c>
      <c r="D131" s="6" t="s">
        <v>12</v>
      </c>
      <c r="E131" s="6" t="s">
        <v>13</v>
      </c>
      <c r="F131" s="6" t="n">
        <v>3</v>
      </c>
      <c r="G131" s="8" t="n">
        <v>35000</v>
      </c>
      <c r="H131" s="8" t="n">
        <v>20000</v>
      </c>
      <c r="I131" s="8" t="n">
        <f aca="false">F131*G131</f>
        <v>105000</v>
      </c>
      <c r="J131" s="8" t="n">
        <f aca="false">F131*(G131-H131)</f>
        <v>45000</v>
      </c>
      <c r="K131" s="9" t="n">
        <f aca="false">(G131-H131)/G131</f>
        <v>0.428571428571429</v>
      </c>
    </row>
    <row r="132" customFormat="false" ht="15" hidden="false" customHeight="false" outlineLevel="0" collapsed="false">
      <c r="A132" s="2" t="n">
        <v>186</v>
      </c>
      <c r="B132" s="3" t="n">
        <v>45739</v>
      </c>
      <c r="C132" s="2" t="s">
        <v>11</v>
      </c>
      <c r="D132" s="2" t="s">
        <v>24</v>
      </c>
      <c r="E132" s="2" t="s">
        <v>23</v>
      </c>
      <c r="F132" s="2" t="n">
        <v>4</v>
      </c>
      <c r="G132" s="4" t="n">
        <v>40000</v>
      </c>
      <c r="H132" s="4" t="n">
        <v>25000</v>
      </c>
      <c r="I132" s="4" t="n">
        <f aca="false">F132*G132</f>
        <v>160000</v>
      </c>
      <c r="J132" s="4" t="n">
        <f aca="false">F132*(G132-H132)</f>
        <v>60000</v>
      </c>
      <c r="K132" s="5" t="n">
        <f aca="false">(G132-H132)/G132</f>
        <v>0.375</v>
      </c>
    </row>
    <row r="133" customFormat="false" ht="15" hidden="false" customHeight="false" outlineLevel="0" collapsed="false">
      <c r="A133" s="6" t="n">
        <v>117</v>
      </c>
      <c r="B133" s="7" t="n">
        <v>45739</v>
      </c>
      <c r="C133" s="6" t="s">
        <v>14</v>
      </c>
      <c r="D133" s="6" t="s">
        <v>12</v>
      </c>
      <c r="E133" s="6" t="s">
        <v>13</v>
      </c>
      <c r="F133" s="6" t="n">
        <v>2</v>
      </c>
      <c r="G133" s="8" t="n">
        <v>35000</v>
      </c>
      <c r="H133" s="8" t="n">
        <v>20000</v>
      </c>
      <c r="I133" s="8" t="n">
        <f aca="false">F133*G133</f>
        <v>70000</v>
      </c>
      <c r="J133" s="8" t="n">
        <f aca="false">F133*(G133-H133)</f>
        <v>30000</v>
      </c>
      <c r="K133" s="9" t="n">
        <f aca="false">(G133-H133)/G133</f>
        <v>0.428571428571429</v>
      </c>
    </row>
    <row r="134" customFormat="false" ht="15" hidden="false" customHeight="false" outlineLevel="0" collapsed="false">
      <c r="A134" s="2" t="n">
        <v>130</v>
      </c>
      <c r="B134" s="3" t="n">
        <v>45740</v>
      </c>
      <c r="C134" s="2" t="s">
        <v>11</v>
      </c>
      <c r="D134" s="2" t="s">
        <v>12</v>
      </c>
      <c r="E134" s="2" t="s">
        <v>13</v>
      </c>
      <c r="F134" s="2" t="n">
        <v>3</v>
      </c>
      <c r="G134" s="4" t="n">
        <v>35000</v>
      </c>
      <c r="H134" s="4" t="n">
        <v>20000</v>
      </c>
      <c r="I134" s="4" t="n">
        <f aca="false">F134*G134</f>
        <v>105000</v>
      </c>
      <c r="J134" s="4" t="n">
        <f aca="false">F134*(G134-H134)</f>
        <v>45000</v>
      </c>
      <c r="K134" s="5" t="n">
        <f aca="false">(G134-H134)/G134</f>
        <v>0.428571428571429</v>
      </c>
    </row>
    <row r="135" customFormat="false" ht="15" hidden="false" customHeight="false" outlineLevel="0" collapsed="false">
      <c r="A135" s="6" t="n">
        <v>35</v>
      </c>
      <c r="B135" s="7" t="n">
        <v>45741</v>
      </c>
      <c r="C135" s="6" t="s">
        <v>14</v>
      </c>
      <c r="D135" s="6" t="s">
        <v>19</v>
      </c>
      <c r="E135" s="6" t="s">
        <v>13</v>
      </c>
      <c r="F135" s="6" t="n">
        <v>2</v>
      </c>
      <c r="G135" s="8" t="n">
        <v>15000</v>
      </c>
      <c r="H135" s="8" t="n">
        <v>7000</v>
      </c>
      <c r="I135" s="8" t="n">
        <f aca="false">F135*G135</f>
        <v>30000</v>
      </c>
      <c r="J135" s="8" t="n">
        <f aca="false">F135*(G135-H135)</f>
        <v>16000</v>
      </c>
      <c r="K135" s="9" t="n">
        <f aca="false">(G135-H135)/G135</f>
        <v>0.533333333333333</v>
      </c>
    </row>
    <row r="136" customFormat="false" ht="15" hidden="false" customHeight="false" outlineLevel="0" collapsed="false">
      <c r="A136" s="2" t="n">
        <v>125</v>
      </c>
      <c r="B136" s="3" t="n">
        <v>45741</v>
      </c>
      <c r="C136" s="2" t="s">
        <v>11</v>
      </c>
      <c r="D136" s="2" t="s">
        <v>12</v>
      </c>
      <c r="E136" s="2" t="s">
        <v>13</v>
      </c>
      <c r="F136" s="2" t="n">
        <v>2</v>
      </c>
      <c r="G136" s="4" t="n">
        <v>35000</v>
      </c>
      <c r="H136" s="4" t="n">
        <v>20000</v>
      </c>
      <c r="I136" s="4" t="n">
        <f aca="false">F136*G136</f>
        <v>70000</v>
      </c>
      <c r="J136" s="4" t="n">
        <f aca="false">F136*(G136-H136)</f>
        <v>30000</v>
      </c>
      <c r="K136" s="5" t="n">
        <f aca="false">(G136-H136)/G136</f>
        <v>0.428571428571429</v>
      </c>
    </row>
    <row r="137" customFormat="false" ht="15" hidden="false" customHeight="false" outlineLevel="0" collapsed="false">
      <c r="A137" s="6" t="n">
        <v>225</v>
      </c>
      <c r="B137" s="7" t="n">
        <v>45741</v>
      </c>
      <c r="C137" s="6" t="s">
        <v>11</v>
      </c>
      <c r="D137" s="6" t="s">
        <v>20</v>
      </c>
      <c r="E137" s="6" t="s">
        <v>16</v>
      </c>
      <c r="F137" s="6" t="n">
        <v>10</v>
      </c>
      <c r="G137" s="8" t="n">
        <v>18000</v>
      </c>
      <c r="H137" s="8" t="n">
        <v>14000</v>
      </c>
      <c r="I137" s="8" t="n">
        <f aca="false">F137*G137</f>
        <v>180000</v>
      </c>
      <c r="J137" s="8" t="n">
        <f aca="false">F137*(G137-H137)</f>
        <v>40000</v>
      </c>
      <c r="K137" s="9" t="n">
        <f aca="false">(G137-H137)/G137</f>
        <v>0.222222222222222</v>
      </c>
    </row>
    <row r="138" customFormat="false" ht="15" hidden="false" customHeight="false" outlineLevel="0" collapsed="false">
      <c r="A138" s="2" t="n">
        <v>290</v>
      </c>
      <c r="B138" s="3" t="n">
        <v>45742</v>
      </c>
      <c r="C138" s="2" t="s">
        <v>18</v>
      </c>
      <c r="D138" s="2" t="s">
        <v>21</v>
      </c>
      <c r="E138" s="2" t="s">
        <v>13</v>
      </c>
      <c r="F138" s="2" t="n">
        <v>2</v>
      </c>
      <c r="G138" s="4" t="n">
        <v>60000</v>
      </c>
      <c r="H138" s="4" t="n">
        <v>45000</v>
      </c>
      <c r="I138" s="4" t="n">
        <f aca="false">F138*G138</f>
        <v>120000</v>
      </c>
      <c r="J138" s="4" t="n">
        <f aca="false">F138*(G138-H138)</f>
        <v>30000</v>
      </c>
      <c r="K138" s="5" t="n">
        <f aca="false">(G138-H138)/G138</f>
        <v>0.25</v>
      </c>
    </row>
    <row r="139" customFormat="false" ht="15" hidden="false" customHeight="false" outlineLevel="0" collapsed="false">
      <c r="A139" s="6" t="n">
        <v>214</v>
      </c>
      <c r="B139" s="7" t="n">
        <v>45742</v>
      </c>
      <c r="C139" s="6" t="s">
        <v>14</v>
      </c>
      <c r="D139" s="6" t="s">
        <v>24</v>
      </c>
      <c r="E139" s="6" t="s">
        <v>23</v>
      </c>
      <c r="F139" s="6" t="n">
        <v>2</v>
      </c>
      <c r="G139" s="8" t="n">
        <v>40000</v>
      </c>
      <c r="H139" s="8" t="n">
        <v>25000</v>
      </c>
      <c r="I139" s="8" t="n">
        <f aca="false">F139*G139</f>
        <v>80000</v>
      </c>
      <c r="J139" s="8" t="n">
        <f aca="false">F139*(G139-H139)</f>
        <v>30000</v>
      </c>
      <c r="K139" s="9" t="n">
        <f aca="false">(G139-H139)/G139</f>
        <v>0.375</v>
      </c>
    </row>
    <row r="140" customFormat="false" ht="15" hidden="false" customHeight="false" outlineLevel="0" collapsed="false">
      <c r="A140" s="2" t="n">
        <v>194</v>
      </c>
      <c r="B140" s="3" t="n">
        <v>45742</v>
      </c>
      <c r="C140" s="2" t="s">
        <v>14</v>
      </c>
      <c r="D140" s="2" t="s">
        <v>25</v>
      </c>
      <c r="E140" s="2" t="s">
        <v>23</v>
      </c>
      <c r="F140" s="2" t="n">
        <v>2</v>
      </c>
      <c r="G140" s="4" t="n">
        <v>250000</v>
      </c>
      <c r="H140" s="4" t="n">
        <v>200000</v>
      </c>
      <c r="I140" s="4" t="n">
        <f aca="false">F140*G140</f>
        <v>500000</v>
      </c>
      <c r="J140" s="4" t="n">
        <f aca="false">F140*(G140-H140)</f>
        <v>100000</v>
      </c>
      <c r="K140" s="5" t="n">
        <f aca="false">(G140-H140)/G140</f>
        <v>0.2</v>
      </c>
    </row>
    <row r="141" customFormat="false" ht="15" hidden="false" customHeight="false" outlineLevel="0" collapsed="false">
      <c r="A141" s="6" t="n">
        <v>103</v>
      </c>
      <c r="B141" s="7" t="n">
        <v>45743</v>
      </c>
      <c r="C141" s="6" t="s">
        <v>11</v>
      </c>
      <c r="D141" s="6" t="s">
        <v>25</v>
      </c>
      <c r="E141" s="6" t="s">
        <v>23</v>
      </c>
      <c r="F141" s="6" t="n">
        <v>3</v>
      </c>
      <c r="G141" s="8" t="n">
        <v>250000</v>
      </c>
      <c r="H141" s="8" t="n">
        <v>200000</v>
      </c>
      <c r="I141" s="8" t="n">
        <f aca="false">F141*G141</f>
        <v>750000</v>
      </c>
      <c r="J141" s="8" t="n">
        <f aca="false">F141*(G141-H141)</f>
        <v>150000</v>
      </c>
      <c r="K141" s="9" t="n">
        <f aca="false">(G141-H141)/G141</f>
        <v>0.2</v>
      </c>
    </row>
    <row r="142" customFormat="false" ht="15" hidden="false" customHeight="false" outlineLevel="0" collapsed="false">
      <c r="A142" s="2" t="n">
        <v>265</v>
      </c>
      <c r="B142" s="3" t="n">
        <v>45743</v>
      </c>
      <c r="C142" s="2" t="s">
        <v>14</v>
      </c>
      <c r="D142" s="2" t="s">
        <v>19</v>
      </c>
      <c r="E142" s="2" t="s">
        <v>13</v>
      </c>
      <c r="F142" s="2" t="n">
        <v>3</v>
      </c>
      <c r="G142" s="4" t="n">
        <v>15000</v>
      </c>
      <c r="H142" s="4" t="n">
        <v>7000</v>
      </c>
      <c r="I142" s="4" t="n">
        <f aca="false">F142*G142</f>
        <v>45000</v>
      </c>
      <c r="J142" s="4" t="n">
        <f aca="false">F142*(G142-H142)</f>
        <v>24000</v>
      </c>
      <c r="K142" s="5" t="n">
        <f aca="false">(G142-H142)/G142</f>
        <v>0.533333333333333</v>
      </c>
    </row>
    <row r="143" customFormat="false" ht="15" hidden="false" customHeight="false" outlineLevel="0" collapsed="false">
      <c r="A143" s="6" t="n">
        <v>45</v>
      </c>
      <c r="B143" s="7" t="n">
        <v>45744</v>
      </c>
      <c r="C143" s="6" t="s">
        <v>11</v>
      </c>
      <c r="D143" s="6" t="s">
        <v>17</v>
      </c>
      <c r="E143" s="6" t="s">
        <v>16</v>
      </c>
      <c r="F143" s="6" t="n">
        <v>44</v>
      </c>
      <c r="G143" s="8" t="n">
        <v>85000</v>
      </c>
      <c r="H143" s="8" t="n">
        <v>75000</v>
      </c>
      <c r="I143" s="8" t="n">
        <f aca="false">F143*G143</f>
        <v>3740000</v>
      </c>
      <c r="J143" s="8" t="n">
        <f aca="false">F143*(G143-H143)</f>
        <v>440000</v>
      </c>
      <c r="K143" s="9" t="n">
        <f aca="false">(G143-H143)/G143</f>
        <v>0.117647058823529</v>
      </c>
    </row>
    <row r="144" customFormat="false" ht="15" hidden="false" customHeight="false" outlineLevel="0" collapsed="false">
      <c r="A144" s="2" t="n">
        <v>66</v>
      </c>
      <c r="B144" s="3" t="n">
        <v>45744</v>
      </c>
      <c r="C144" s="2" t="s">
        <v>14</v>
      </c>
      <c r="D144" s="2" t="s">
        <v>24</v>
      </c>
      <c r="E144" s="2" t="s">
        <v>23</v>
      </c>
      <c r="F144" s="2" t="n">
        <v>5</v>
      </c>
      <c r="G144" s="4" t="n">
        <v>40000</v>
      </c>
      <c r="H144" s="4" t="n">
        <v>25000</v>
      </c>
      <c r="I144" s="4" t="n">
        <f aca="false">F144*G144</f>
        <v>200000</v>
      </c>
      <c r="J144" s="4" t="n">
        <f aca="false">F144*(G144-H144)</f>
        <v>75000</v>
      </c>
      <c r="K144" s="5" t="n">
        <f aca="false">(G144-H144)/G144</f>
        <v>0.375</v>
      </c>
    </row>
    <row r="145" customFormat="false" ht="15" hidden="false" customHeight="false" outlineLevel="0" collapsed="false">
      <c r="A145" s="6" t="n">
        <v>31</v>
      </c>
      <c r="B145" s="7" t="n">
        <v>45744</v>
      </c>
      <c r="C145" s="6" t="s">
        <v>14</v>
      </c>
      <c r="D145" s="6" t="s">
        <v>19</v>
      </c>
      <c r="E145" s="6" t="s">
        <v>13</v>
      </c>
      <c r="F145" s="6" t="n">
        <v>1</v>
      </c>
      <c r="G145" s="8" t="n">
        <v>60000</v>
      </c>
      <c r="H145" s="8" t="n">
        <v>45000</v>
      </c>
      <c r="I145" s="8" t="n">
        <f aca="false">F145*G145</f>
        <v>60000</v>
      </c>
      <c r="J145" s="8" t="n">
        <f aca="false">F145*(G145-H145)</f>
        <v>15000</v>
      </c>
      <c r="K145" s="9" t="n">
        <f aca="false">(G145-H145)/G145</f>
        <v>0.25</v>
      </c>
    </row>
    <row r="146" customFormat="false" ht="15" hidden="false" customHeight="false" outlineLevel="0" collapsed="false">
      <c r="A146" s="2" t="n">
        <v>200</v>
      </c>
      <c r="B146" s="3" t="n">
        <v>45745</v>
      </c>
      <c r="C146" s="2" t="s">
        <v>14</v>
      </c>
      <c r="D146" s="2" t="s">
        <v>22</v>
      </c>
      <c r="E146" s="2" t="s">
        <v>23</v>
      </c>
      <c r="F146" s="2" t="n">
        <v>3</v>
      </c>
      <c r="G146" s="4" t="n">
        <v>600000</v>
      </c>
      <c r="H146" s="4" t="n">
        <v>520000</v>
      </c>
      <c r="I146" s="4" t="n">
        <f aca="false">F146*G146</f>
        <v>1800000</v>
      </c>
      <c r="J146" s="4" t="n">
        <f aca="false">F146*(G146-H146)</f>
        <v>240000</v>
      </c>
      <c r="K146" s="5" t="n">
        <f aca="false">(G146-H146)/G146</f>
        <v>0.133333333333333</v>
      </c>
    </row>
    <row r="147" customFormat="false" ht="15" hidden="false" customHeight="false" outlineLevel="0" collapsed="false">
      <c r="A147" s="6" t="n">
        <v>252</v>
      </c>
      <c r="B147" s="7" t="n">
        <v>45745</v>
      </c>
      <c r="C147" s="6" t="s">
        <v>14</v>
      </c>
      <c r="D147" s="6" t="s">
        <v>12</v>
      </c>
      <c r="E147" s="6" t="s">
        <v>13</v>
      </c>
      <c r="F147" s="6" t="n">
        <v>1</v>
      </c>
      <c r="G147" s="8" t="n">
        <v>35000</v>
      </c>
      <c r="H147" s="8" t="n">
        <v>20000</v>
      </c>
      <c r="I147" s="8" t="n">
        <f aca="false">F147*G147</f>
        <v>35000</v>
      </c>
      <c r="J147" s="8" t="n">
        <f aca="false">F147*(G147-H147)</f>
        <v>15000</v>
      </c>
      <c r="K147" s="9" t="n">
        <f aca="false">(G147-H147)/G147</f>
        <v>0.428571428571429</v>
      </c>
    </row>
    <row r="148" customFormat="false" ht="15" hidden="false" customHeight="false" outlineLevel="0" collapsed="false">
      <c r="A148" s="2" t="n">
        <v>118</v>
      </c>
      <c r="B148" s="3" t="n">
        <v>45745</v>
      </c>
      <c r="C148" s="2" t="s">
        <v>14</v>
      </c>
      <c r="D148" s="2" t="s">
        <v>22</v>
      </c>
      <c r="E148" s="2" t="s">
        <v>23</v>
      </c>
      <c r="F148" s="2" t="n">
        <v>1</v>
      </c>
      <c r="G148" s="4" t="n">
        <v>600000</v>
      </c>
      <c r="H148" s="4" t="n">
        <v>520000</v>
      </c>
      <c r="I148" s="4" t="n">
        <f aca="false">F148*G148</f>
        <v>600000</v>
      </c>
      <c r="J148" s="4" t="n">
        <f aca="false">F148*(G148-H148)</f>
        <v>80000</v>
      </c>
      <c r="K148" s="5" t="n">
        <f aca="false">(G148-H148)/G148</f>
        <v>0.133333333333333</v>
      </c>
    </row>
    <row r="149" customFormat="false" ht="15" hidden="false" customHeight="false" outlineLevel="0" collapsed="false">
      <c r="A149" s="6" t="n">
        <v>212</v>
      </c>
      <c r="B149" s="7" t="n">
        <v>45746</v>
      </c>
      <c r="C149" s="6" t="s">
        <v>14</v>
      </c>
      <c r="D149" s="6" t="s">
        <v>19</v>
      </c>
      <c r="E149" s="6" t="s">
        <v>13</v>
      </c>
      <c r="F149" s="6" t="n">
        <v>2</v>
      </c>
      <c r="G149" s="8" t="n">
        <v>15000</v>
      </c>
      <c r="H149" s="8" t="n">
        <v>7000</v>
      </c>
      <c r="I149" s="8" t="n">
        <f aca="false">F149*G149</f>
        <v>30000</v>
      </c>
      <c r="J149" s="8" t="n">
        <f aca="false">F149*(G149-H149)</f>
        <v>16000</v>
      </c>
      <c r="K149" s="9" t="n">
        <f aca="false">(G149-H149)/G149</f>
        <v>0.533333333333333</v>
      </c>
    </row>
    <row r="150" customFormat="false" ht="15" hidden="false" customHeight="false" outlineLevel="0" collapsed="false">
      <c r="A150" s="2" t="n">
        <v>256</v>
      </c>
      <c r="B150" s="3" t="n">
        <v>45746</v>
      </c>
      <c r="C150" s="2" t="s">
        <v>11</v>
      </c>
      <c r="D150" s="2" t="s">
        <v>22</v>
      </c>
      <c r="E150" s="2" t="s">
        <v>23</v>
      </c>
      <c r="F150" s="2" t="n">
        <v>5</v>
      </c>
      <c r="G150" s="4" t="n">
        <v>600000</v>
      </c>
      <c r="H150" s="4" t="n">
        <v>520000</v>
      </c>
      <c r="I150" s="4" t="n">
        <f aca="false">F150*G150</f>
        <v>3000000</v>
      </c>
      <c r="J150" s="4" t="n">
        <f aca="false">F150*(G150-H150)</f>
        <v>400000</v>
      </c>
      <c r="K150" s="5" t="n">
        <f aca="false">(G150-H150)/G150</f>
        <v>0.133333333333333</v>
      </c>
    </row>
    <row r="151" customFormat="false" ht="15" hidden="false" customHeight="false" outlineLevel="0" collapsed="false">
      <c r="A151" s="6" t="n">
        <v>149</v>
      </c>
      <c r="B151" s="7" t="n">
        <v>45748</v>
      </c>
      <c r="C151" s="6" t="s">
        <v>14</v>
      </c>
      <c r="D151" s="6" t="s">
        <v>20</v>
      </c>
      <c r="E151" s="6" t="s">
        <v>16</v>
      </c>
      <c r="F151" s="6" t="n">
        <v>12</v>
      </c>
      <c r="G151" s="8" t="n">
        <v>18000</v>
      </c>
      <c r="H151" s="8" t="n">
        <v>14000</v>
      </c>
      <c r="I151" s="8" t="n">
        <f aca="false">F151*G151</f>
        <v>216000</v>
      </c>
      <c r="J151" s="8" t="n">
        <f aca="false">F151*(G151-H151)</f>
        <v>48000</v>
      </c>
      <c r="K151" s="9" t="n">
        <f aca="false">(G151-H151)/G151</f>
        <v>0.222222222222222</v>
      </c>
    </row>
    <row r="152" customFormat="false" ht="15" hidden="false" customHeight="false" outlineLevel="0" collapsed="false">
      <c r="A152" s="2" t="n">
        <v>174</v>
      </c>
      <c r="B152" s="3" t="n">
        <v>45748</v>
      </c>
      <c r="C152" s="2" t="s">
        <v>14</v>
      </c>
      <c r="D152" s="2" t="s">
        <v>25</v>
      </c>
      <c r="E152" s="2" t="s">
        <v>23</v>
      </c>
      <c r="F152" s="2" t="n">
        <v>4</v>
      </c>
      <c r="G152" s="4" t="n">
        <v>250000</v>
      </c>
      <c r="H152" s="4" t="n">
        <v>200000</v>
      </c>
      <c r="I152" s="4" t="n">
        <f aca="false">F152*G152</f>
        <v>1000000</v>
      </c>
      <c r="J152" s="4" t="n">
        <f aca="false">F152*(G152-H152)</f>
        <v>200000</v>
      </c>
      <c r="K152" s="5" t="n">
        <f aca="false">(G152-H152)/G152</f>
        <v>0.2</v>
      </c>
    </row>
    <row r="153" customFormat="false" ht="15" hidden="false" customHeight="false" outlineLevel="0" collapsed="false">
      <c r="A153" s="6" t="n">
        <v>172</v>
      </c>
      <c r="B153" s="7" t="n">
        <v>45748</v>
      </c>
      <c r="C153" s="6" t="s">
        <v>14</v>
      </c>
      <c r="D153" s="6" t="s">
        <v>24</v>
      </c>
      <c r="E153" s="6" t="s">
        <v>23</v>
      </c>
      <c r="F153" s="6" t="n">
        <v>3</v>
      </c>
      <c r="G153" s="8" t="n">
        <v>40000</v>
      </c>
      <c r="H153" s="8" t="n">
        <v>25000</v>
      </c>
      <c r="I153" s="8" t="n">
        <f aca="false">F153*G153</f>
        <v>120000</v>
      </c>
      <c r="J153" s="8" t="n">
        <f aca="false">F153*(G153-H153)</f>
        <v>45000</v>
      </c>
      <c r="K153" s="9" t="n">
        <f aca="false">(G153-H153)/G153</f>
        <v>0.375</v>
      </c>
    </row>
    <row r="154" customFormat="false" ht="15" hidden="false" customHeight="false" outlineLevel="0" collapsed="false">
      <c r="A154" s="2" t="n">
        <v>262</v>
      </c>
      <c r="B154" s="3" t="n">
        <v>45750</v>
      </c>
      <c r="C154" s="2" t="s">
        <v>14</v>
      </c>
      <c r="D154" s="2" t="s">
        <v>19</v>
      </c>
      <c r="E154" s="2" t="s">
        <v>13</v>
      </c>
      <c r="F154" s="2" t="n">
        <v>2</v>
      </c>
      <c r="G154" s="4" t="n">
        <v>15000</v>
      </c>
      <c r="H154" s="4" t="n">
        <v>7000</v>
      </c>
      <c r="I154" s="4" t="n">
        <f aca="false">F154*G154</f>
        <v>30000</v>
      </c>
      <c r="J154" s="4" t="n">
        <f aca="false">F154*(G154-H154)</f>
        <v>16000</v>
      </c>
      <c r="K154" s="5" t="n">
        <f aca="false">(G154-H154)/G154</f>
        <v>0.533333333333333</v>
      </c>
    </row>
    <row r="155" customFormat="false" ht="15" hidden="false" customHeight="false" outlineLevel="0" collapsed="false">
      <c r="A155" s="6" t="n">
        <v>115</v>
      </c>
      <c r="B155" s="7" t="n">
        <v>45750</v>
      </c>
      <c r="C155" s="6" t="s">
        <v>14</v>
      </c>
      <c r="D155" s="6" t="s">
        <v>19</v>
      </c>
      <c r="E155" s="6" t="s">
        <v>13</v>
      </c>
      <c r="F155" s="6" t="n">
        <v>3</v>
      </c>
      <c r="G155" s="8" t="n">
        <v>15000</v>
      </c>
      <c r="H155" s="8" t="n">
        <v>7000</v>
      </c>
      <c r="I155" s="8" t="n">
        <f aca="false">F155*G155</f>
        <v>45000</v>
      </c>
      <c r="J155" s="8" t="n">
        <f aca="false">F155*(G155-H155)</f>
        <v>24000</v>
      </c>
      <c r="K155" s="9" t="n">
        <f aca="false">(G155-H155)/G155</f>
        <v>0.533333333333333</v>
      </c>
    </row>
    <row r="156" customFormat="false" ht="15" hidden="false" customHeight="false" outlineLevel="0" collapsed="false">
      <c r="A156" s="2" t="n">
        <v>29</v>
      </c>
      <c r="B156" s="3" t="n">
        <v>45750</v>
      </c>
      <c r="C156" s="2" t="s">
        <v>14</v>
      </c>
      <c r="D156" s="2" t="s">
        <v>15</v>
      </c>
      <c r="E156" s="2" t="s">
        <v>16</v>
      </c>
      <c r="F156" s="2" t="n">
        <v>9</v>
      </c>
      <c r="G156" s="4" t="n">
        <v>1500</v>
      </c>
      <c r="H156" s="4" t="n">
        <v>900</v>
      </c>
      <c r="I156" s="4" t="n">
        <f aca="false">F156*G156</f>
        <v>13500</v>
      </c>
      <c r="J156" s="4" t="n">
        <f aca="false">F156*(G156-H156)</f>
        <v>5400</v>
      </c>
      <c r="K156" s="5" t="n">
        <f aca="false">(G156-H156)/G156</f>
        <v>0.4</v>
      </c>
    </row>
    <row r="157" customFormat="false" ht="15" hidden="false" customHeight="false" outlineLevel="0" collapsed="false">
      <c r="A157" s="6" t="n">
        <v>292</v>
      </c>
      <c r="B157" s="7" t="n">
        <v>45751</v>
      </c>
      <c r="C157" s="6" t="s">
        <v>18</v>
      </c>
      <c r="D157" s="6" t="s">
        <v>20</v>
      </c>
      <c r="E157" s="6" t="s">
        <v>16</v>
      </c>
      <c r="F157" s="6" t="n">
        <v>47</v>
      </c>
      <c r="G157" s="8" t="n">
        <v>18000</v>
      </c>
      <c r="H157" s="8" t="n">
        <v>14000</v>
      </c>
      <c r="I157" s="8" t="n">
        <f aca="false">F157*G157</f>
        <v>846000</v>
      </c>
      <c r="J157" s="8" t="n">
        <f aca="false">F157*(G157-H157)</f>
        <v>188000</v>
      </c>
      <c r="K157" s="9" t="n">
        <f aca="false">(G157-H157)/G157</f>
        <v>0.222222222222222</v>
      </c>
    </row>
    <row r="158" customFormat="false" ht="15" hidden="false" customHeight="false" outlineLevel="0" collapsed="false">
      <c r="A158" s="2" t="n">
        <v>147</v>
      </c>
      <c r="B158" s="3" t="n">
        <v>45751</v>
      </c>
      <c r="C158" s="2" t="s">
        <v>14</v>
      </c>
      <c r="D158" s="2" t="s">
        <v>19</v>
      </c>
      <c r="E158" s="2" t="s">
        <v>13</v>
      </c>
      <c r="F158" s="2" t="n">
        <v>1</v>
      </c>
      <c r="G158" s="4" t="n">
        <v>15000</v>
      </c>
      <c r="H158" s="4" t="n">
        <v>7000</v>
      </c>
      <c r="I158" s="4" t="n">
        <f aca="false">F158*G158</f>
        <v>15000</v>
      </c>
      <c r="J158" s="4" t="n">
        <f aca="false">F158*(G158-H158)</f>
        <v>8000</v>
      </c>
      <c r="K158" s="5" t="n">
        <f aca="false">(G158-H158)/G158</f>
        <v>0.533333333333333</v>
      </c>
    </row>
    <row r="159" customFormat="false" ht="15" hidden="false" customHeight="false" outlineLevel="0" collapsed="false">
      <c r="A159" s="6" t="n">
        <v>100</v>
      </c>
      <c r="B159" s="7" t="n">
        <v>45751</v>
      </c>
      <c r="C159" s="6" t="s">
        <v>11</v>
      </c>
      <c r="D159" s="6" t="s">
        <v>20</v>
      </c>
      <c r="E159" s="6" t="s">
        <v>16</v>
      </c>
      <c r="F159" s="6" t="n">
        <v>38</v>
      </c>
      <c r="G159" s="8" t="n">
        <v>18000</v>
      </c>
      <c r="H159" s="8" t="n">
        <v>14000</v>
      </c>
      <c r="I159" s="8" t="n">
        <f aca="false">F159*G159</f>
        <v>684000</v>
      </c>
      <c r="J159" s="8" t="n">
        <f aca="false">F159*(G159-H159)</f>
        <v>152000</v>
      </c>
      <c r="K159" s="9" t="n">
        <f aca="false">(G159-H159)/G159</f>
        <v>0.222222222222222</v>
      </c>
    </row>
    <row r="160" customFormat="false" ht="15" hidden="false" customHeight="false" outlineLevel="0" collapsed="false">
      <c r="A160" s="2" t="n">
        <v>36</v>
      </c>
      <c r="B160" s="3" t="n">
        <v>45751</v>
      </c>
      <c r="C160" s="2" t="s">
        <v>11</v>
      </c>
      <c r="D160" s="2" t="s">
        <v>17</v>
      </c>
      <c r="E160" s="2" t="s">
        <v>16</v>
      </c>
      <c r="F160" s="2" t="n">
        <v>18</v>
      </c>
      <c r="G160" s="4" t="n">
        <v>85000</v>
      </c>
      <c r="H160" s="4" t="n">
        <v>75000</v>
      </c>
      <c r="I160" s="4" t="n">
        <f aca="false">F160*G160</f>
        <v>1530000</v>
      </c>
      <c r="J160" s="4" t="n">
        <f aca="false">F160*(G160-H160)</f>
        <v>180000</v>
      </c>
      <c r="K160" s="5" t="n">
        <f aca="false">(G160-H160)/G160</f>
        <v>0.117647058823529</v>
      </c>
    </row>
    <row r="161" customFormat="false" ht="15" hidden="false" customHeight="false" outlineLevel="0" collapsed="false">
      <c r="A161" s="6" t="n">
        <v>229</v>
      </c>
      <c r="B161" s="7" t="n">
        <v>45752</v>
      </c>
      <c r="C161" s="6" t="s">
        <v>14</v>
      </c>
      <c r="D161" s="6" t="s">
        <v>17</v>
      </c>
      <c r="E161" s="6" t="s">
        <v>16</v>
      </c>
      <c r="F161" s="6" t="n">
        <v>12</v>
      </c>
      <c r="G161" s="8" t="n">
        <v>85000</v>
      </c>
      <c r="H161" s="8" t="n">
        <v>75000</v>
      </c>
      <c r="I161" s="8" t="n">
        <f aca="false">F161*G161</f>
        <v>1020000</v>
      </c>
      <c r="J161" s="8" t="n">
        <f aca="false">F161*(G161-H161)</f>
        <v>120000</v>
      </c>
      <c r="K161" s="9" t="n">
        <f aca="false">(G161-H161)/G161</f>
        <v>0.117647058823529</v>
      </c>
    </row>
    <row r="162" customFormat="false" ht="15" hidden="false" customHeight="false" outlineLevel="0" collapsed="false">
      <c r="A162" s="2" t="n">
        <v>239</v>
      </c>
      <c r="B162" s="3" t="n">
        <v>45752</v>
      </c>
      <c r="C162" s="2" t="s">
        <v>14</v>
      </c>
      <c r="D162" s="2" t="s">
        <v>17</v>
      </c>
      <c r="E162" s="2" t="s">
        <v>16</v>
      </c>
      <c r="F162" s="2" t="n">
        <v>7</v>
      </c>
      <c r="G162" s="4" t="n">
        <v>85000</v>
      </c>
      <c r="H162" s="4" t="n">
        <v>75000</v>
      </c>
      <c r="I162" s="4" t="n">
        <f aca="false">F162*G162</f>
        <v>595000</v>
      </c>
      <c r="J162" s="4" t="n">
        <f aca="false">F162*(G162-H162)</f>
        <v>70000</v>
      </c>
      <c r="K162" s="5" t="n">
        <f aca="false">(G162-H162)/G162</f>
        <v>0.117647058823529</v>
      </c>
    </row>
    <row r="163" customFormat="false" ht="15" hidden="false" customHeight="false" outlineLevel="0" collapsed="false">
      <c r="A163" s="6" t="n">
        <v>224</v>
      </c>
      <c r="B163" s="7" t="n">
        <v>45752</v>
      </c>
      <c r="C163" s="6" t="s">
        <v>11</v>
      </c>
      <c r="D163" s="6" t="s">
        <v>25</v>
      </c>
      <c r="E163" s="6" t="s">
        <v>23</v>
      </c>
      <c r="F163" s="6" t="n">
        <v>2</v>
      </c>
      <c r="G163" s="8" t="n">
        <v>250000</v>
      </c>
      <c r="H163" s="8" t="n">
        <v>200000</v>
      </c>
      <c r="I163" s="8" t="n">
        <f aca="false">F163*G163</f>
        <v>500000</v>
      </c>
      <c r="J163" s="8" t="n">
        <f aca="false">F163*(G163-H163)</f>
        <v>100000</v>
      </c>
      <c r="K163" s="9" t="n">
        <f aca="false">(G163-H163)/G163</f>
        <v>0.2</v>
      </c>
    </row>
    <row r="164" customFormat="false" ht="15" hidden="false" customHeight="false" outlineLevel="0" collapsed="false">
      <c r="A164" s="2" t="n">
        <v>104</v>
      </c>
      <c r="B164" s="3" t="n">
        <v>45752</v>
      </c>
      <c r="C164" s="2" t="s">
        <v>14</v>
      </c>
      <c r="D164" s="2" t="s">
        <v>15</v>
      </c>
      <c r="E164" s="2" t="s">
        <v>16</v>
      </c>
      <c r="F164" s="2" t="n">
        <v>6</v>
      </c>
      <c r="G164" s="4" t="n">
        <v>1500</v>
      </c>
      <c r="H164" s="4" t="n">
        <v>900</v>
      </c>
      <c r="I164" s="4" t="n">
        <f aca="false">F164*G164</f>
        <v>9000</v>
      </c>
      <c r="J164" s="4" t="n">
        <f aca="false">F164*(G164-H164)</f>
        <v>3600</v>
      </c>
      <c r="K164" s="5" t="n">
        <f aca="false">(G164-H164)/G164</f>
        <v>0.4</v>
      </c>
    </row>
    <row r="165" customFormat="false" ht="15" hidden="false" customHeight="false" outlineLevel="0" collapsed="false">
      <c r="A165" s="6" t="n">
        <v>259</v>
      </c>
      <c r="B165" s="7" t="n">
        <v>45754</v>
      </c>
      <c r="C165" s="6" t="s">
        <v>18</v>
      </c>
      <c r="D165" s="6" t="s">
        <v>12</v>
      </c>
      <c r="E165" s="6" t="s">
        <v>13</v>
      </c>
      <c r="F165" s="6" t="n">
        <v>1</v>
      </c>
      <c r="G165" s="8" t="n">
        <v>35000</v>
      </c>
      <c r="H165" s="8" t="n">
        <v>20000</v>
      </c>
      <c r="I165" s="8" t="n">
        <f aca="false">F165*G165</f>
        <v>35000</v>
      </c>
      <c r="J165" s="8" t="n">
        <f aca="false">F165*(G165-H165)</f>
        <v>15000</v>
      </c>
      <c r="K165" s="9" t="n">
        <f aca="false">(G165-H165)/G165</f>
        <v>0.428571428571429</v>
      </c>
    </row>
    <row r="166" customFormat="false" ht="15" hidden="false" customHeight="false" outlineLevel="0" collapsed="false">
      <c r="A166" s="2" t="n">
        <v>24</v>
      </c>
      <c r="B166" s="3" t="n">
        <v>45754</v>
      </c>
      <c r="C166" s="2" t="s">
        <v>14</v>
      </c>
      <c r="D166" s="2" t="s">
        <v>24</v>
      </c>
      <c r="E166" s="2" t="s">
        <v>23</v>
      </c>
      <c r="F166" s="2" t="n">
        <v>5</v>
      </c>
      <c r="G166" s="4" t="n">
        <v>40000</v>
      </c>
      <c r="H166" s="4" t="n">
        <v>25000</v>
      </c>
      <c r="I166" s="4" t="n">
        <f aca="false">F166*G166</f>
        <v>200000</v>
      </c>
      <c r="J166" s="4" t="n">
        <f aca="false">F166*(G166-H166)</f>
        <v>75000</v>
      </c>
      <c r="K166" s="5" t="n">
        <f aca="false">(G166-H166)/G166</f>
        <v>0.375</v>
      </c>
    </row>
    <row r="167" customFormat="false" ht="15" hidden="false" customHeight="false" outlineLevel="0" collapsed="false">
      <c r="A167" s="6" t="n">
        <v>91</v>
      </c>
      <c r="B167" s="7" t="n">
        <v>45754</v>
      </c>
      <c r="C167" s="6" t="s">
        <v>11</v>
      </c>
      <c r="D167" s="6" t="s">
        <v>21</v>
      </c>
      <c r="E167" s="6" t="s">
        <v>13</v>
      </c>
      <c r="F167" s="6" t="n">
        <v>2</v>
      </c>
      <c r="G167" s="8" t="n">
        <v>60000</v>
      </c>
      <c r="H167" s="8" t="n">
        <v>45000</v>
      </c>
      <c r="I167" s="8" t="n">
        <f aca="false">F167*G167</f>
        <v>120000</v>
      </c>
      <c r="J167" s="8" t="n">
        <f aca="false">F167*(G167-H167)</f>
        <v>30000</v>
      </c>
      <c r="K167" s="9" t="n">
        <f aca="false">(G167-H167)/G167</f>
        <v>0.25</v>
      </c>
    </row>
    <row r="168" customFormat="false" ht="15" hidden="false" customHeight="false" outlineLevel="0" collapsed="false">
      <c r="A168" s="2" t="n">
        <v>135</v>
      </c>
      <c r="B168" s="3" t="n">
        <v>45755</v>
      </c>
      <c r="C168" s="2" t="s">
        <v>14</v>
      </c>
      <c r="D168" s="2" t="s">
        <v>15</v>
      </c>
      <c r="E168" s="2" t="s">
        <v>16</v>
      </c>
      <c r="F168" s="2" t="n">
        <v>13</v>
      </c>
      <c r="G168" s="4" t="n">
        <v>1500</v>
      </c>
      <c r="H168" s="4" t="n">
        <v>900</v>
      </c>
      <c r="I168" s="4" t="n">
        <f aca="false">F168*G168</f>
        <v>19500</v>
      </c>
      <c r="J168" s="4" t="n">
        <f aca="false">F168*(G168-H168)</f>
        <v>7800</v>
      </c>
      <c r="K168" s="5" t="n">
        <f aca="false">(G168-H168)/G168</f>
        <v>0.4</v>
      </c>
    </row>
    <row r="169" customFormat="false" ht="15" hidden="false" customHeight="false" outlineLevel="0" collapsed="false">
      <c r="A169" s="6" t="n">
        <v>180</v>
      </c>
      <c r="B169" s="7" t="n">
        <v>45755</v>
      </c>
      <c r="C169" s="6" t="s">
        <v>18</v>
      </c>
      <c r="D169" s="6" t="s">
        <v>15</v>
      </c>
      <c r="E169" s="6" t="s">
        <v>16</v>
      </c>
      <c r="F169" s="6" t="n">
        <v>43</v>
      </c>
      <c r="G169" s="8" t="n">
        <v>1500</v>
      </c>
      <c r="H169" s="8" t="n">
        <v>900</v>
      </c>
      <c r="I169" s="8" t="n">
        <f aca="false">F169*G169</f>
        <v>64500</v>
      </c>
      <c r="J169" s="8" t="n">
        <f aca="false">F169*(G169-H169)</f>
        <v>25800</v>
      </c>
      <c r="K169" s="9" t="n">
        <f aca="false">(G169-H169)/G169</f>
        <v>0.4</v>
      </c>
    </row>
    <row r="170" customFormat="false" ht="15" hidden="false" customHeight="false" outlineLevel="0" collapsed="false">
      <c r="A170" s="2" t="n">
        <v>221</v>
      </c>
      <c r="B170" s="3" t="n">
        <v>45757</v>
      </c>
      <c r="C170" s="2" t="s">
        <v>14</v>
      </c>
      <c r="D170" s="2" t="s">
        <v>12</v>
      </c>
      <c r="E170" s="2" t="s">
        <v>13</v>
      </c>
      <c r="F170" s="2" t="n">
        <v>1</v>
      </c>
      <c r="G170" s="4" t="n">
        <v>35000</v>
      </c>
      <c r="H170" s="4" t="n">
        <v>20000</v>
      </c>
      <c r="I170" s="4" t="n">
        <f aca="false">F170*G170</f>
        <v>35000</v>
      </c>
      <c r="J170" s="4" t="n">
        <f aca="false">F170*(G170-H170)</f>
        <v>15000</v>
      </c>
      <c r="K170" s="5" t="n">
        <f aca="false">(G170-H170)/G170</f>
        <v>0.428571428571429</v>
      </c>
    </row>
    <row r="171" customFormat="false" ht="15" hidden="false" customHeight="false" outlineLevel="0" collapsed="false">
      <c r="A171" s="6" t="n">
        <v>88</v>
      </c>
      <c r="B171" s="7" t="n">
        <v>45758</v>
      </c>
      <c r="C171" s="6" t="s">
        <v>14</v>
      </c>
      <c r="D171" s="6" t="s">
        <v>15</v>
      </c>
      <c r="E171" s="6" t="s">
        <v>16</v>
      </c>
      <c r="F171" s="6" t="n">
        <v>28</v>
      </c>
      <c r="G171" s="8" t="n">
        <v>1500</v>
      </c>
      <c r="H171" s="8" t="n">
        <v>900</v>
      </c>
      <c r="I171" s="8" t="n">
        <f aca="false">F171*G171</f>
        <v>42000</v>
      </c>
      <c r="J171" s="8" t="n">
        <f aca="false">F171*(G171-H171)</f>
        <v>16800</v>
      </c>
      <c r="K171" s="9" t="n">
        <f aca="false">(G171-H171)/G171</f>
        <v>0.4</v>
      </c>
    </row>
    <row r="172" customFormat="false" ht="15" hidden="false" customHeight="false" outlineLevel="0" collapsed="false">
      <c r="A172" s="2" t="n">
        <v>136</v>
      </c>
      <c r="B172" s="3" t="n">
        <v>45758</v>
      </c>
      <c r="C172" s="2" t="s">
        <v>18</v>
      </c>
      <c r="D172" s="2" t="s">
        <v>24</v>
      </c>
      <c r="E172" s="2" t="s">
        <v>23</v>
      </c>
      <c r="F172" s="2" t="n">
        <v>1</v>
      </c>
      <c r="G172" s="4" t="n">
        <v>40000</v>
      </c>
      <c r="H172" s="4" t="n">
        <v>25000</v>
      </c>
      <c r="I172" s="4" t="n">
        <f aca="false">F172*G172</f>
        <v>40000</v>
      </c>
      <c r="J172" s="4" t="n">
        <f aca="false">F172*(G172-H172)</f>
        <v>15000</v>
      </c>
      <c r="K172" s="5" t="n">
        <f aca="false">(G172-H172)/G172</f>
        <v>0.375</v>
      </c>
    </row>
    <row r="173" customFormat="false" ht="15" hidden="false" customHeight="false" outlineLevel="0" collapsed="false">
      <c r="A173" s="6" t="n">
        <v>281</v>
      </c>
      <c r="B173" s="7" t="n">
        <v>45760</v>
      </c>
      <c r="C173" s="6" t="s">
        <v>18</v>
      </c>
      <c r="D173" s="6" t="s">
        <v>17</v>
      </c>
      <c r="E173" s="6" t="s">
        <v>16</v>
      </c>
      <c r="F173" s="6" t="n">
        <v>38</v>
      </c>
      <c r="G173" s="8" t="n">
        <v>85000</v>
      </c>
      <c r="H173" s="8" t="n">
        <v>75000</v>
      </c>
      <c r="I173" s="8" t="n">
        <f aca="false">F173*G173</f>
        <v>3230000</v>
      </c>
      <c r="J173" s="8" t="n">
        <f aca="false">F173*(G173-H173)</f>
        <v>380000</v>
      </c>
      <c r="K173" s="9" t="n">
        <f aca="false">(G173-H173)/G173</f>
        <v>0.117647058823529</v>
      </c>
    </row>
    <row r="174" customFormat="false" ht="15" hidden="false" customHeight="false" outlineLevel="0" collapsed="false">
      <c r="A174" s="2" t="n">
        <v>44</v>
      </c>
      <c r="B174" s="3" t="n">
        <v>45761</v>
      </c>
      <c r="C174" s="2" t="s">
        <v>14</v>
      </c>
      <c r="D174" s="2" t="s">
        <v>20</v>
      </c>
      <c r="E174" s="2" t="s">
        <v>16</v>
      </c>
      <c r="F174" s="2" t="n">
        <v>23</v>
      </c>
      <c r="G174" s="4" t="n">
        <v>18000</v>
      </c>
      <c r="H174" s="4" t="n">
        <v>14000</v>
      </c>
      <c r="I174" s="4" t="n">
        <f aca="false">F174*G174</f>
        <v>414000</v>
      </c>
      <c r="J174" s="4" t="n">
        <f aca="false">F174*(G174-H174)</f>
        <v>92000</v>
      </c>
      <c r="K174" s="5" t="n">
        <f aca="false">(G174-H174)/G174</f>
        <v>0.222222222222222</v>
      </c>
    </row>
    <row r="175" customFormat="false" ht="15" hidden="false" customHeight="false" outlineLevel="0" collapsed="false">
      <c r="A175" s="6" t="n">
        <v>123</v>
      </c>
      <c r="B175" s="7" t="n">
        <v>45761</v>
      </c>
      <c r="C175" s="6" t="s">
        <v>18</v>
      </c>
      <c r="D175" s="6" t="s">
        <v>12</v>
      </c>
      <c r="E175" s="6" t="s">
        <v>13</v>
      </c>
      <c r="F175" s="6" t="n">
        <v>2</v>
      </c>
      <c r="G175" s="8" t="n">
        <v>35000</v>
      </c>
      <c r="H175" s="8" t="n">
        <v>20000</v>
      </c>
      <c r="I175" s="8" t="n">
        <f aca="false">F175*G175</f>
        <v>70000</v>
      </c>
      <c r="J175" s="8" t="n">
        <f aca="false">F175*(G175-H175)</f>
        <v>30000</v>
      </c>
      <c r="K175" s="9" t="n">
        <f aca="false">(G175-H175)/G175</f>
        <v>0.428571428571429</v>
      </c>
    </row>
    <row r="176" customFormat="false" ht="15" hidden="false" customHeight="false" outlineLevel="0" collapsed="false">
      <c r="A176" s="2" t="n">
        <v>177</v>
      </c>
      <c r="B176" s="3" t="n">
        <v>45761</v>
      </c>
      <c r="C176" s="2" t="s">
        <v>11</v>
      </c>
      <c r="D176" s="2" t="s">
        <v>17</v>
      </c>
      <c r="E176" s="2" t="s">
        <v>16</v>
      </c>
      <c r="F176" s="2" t="n">
        <v>35</v>
      </c>
      <c r="G176" s="4" t="n">
        <v>85000</v>
      </c>
      <c r="H176" s="4" t="n">
        <v>75000</v>
      </c>
      <c r="I176" s="4" t="n">
        <f aca="false">F176*G176</f>
        <v>2975000</v>
      </c>
      <c r="J176" s="4" t="n">
        <f aca="false">F176*(G176-H176)</f>
        <v>350000</v>
      </c>
      <c r="K176" s="5" t="n">
        <f aca="false">(G176-H176)/G176</f>
        <v>0.117647058823529</v>
      </c>
    </row>
    <row r="177" customFormat="false" ht="15" hidden="false" customHeight="false" outlineLevel="0" collapsed="false">
      <c r="A177" s="6" t="n">
        <v>64</v>
      </c>
      <c r="B177" s="7" t="n">
        <v>45762</v>
      </c>
      <c r="C177" s="6" t="s">
        <v>18</v>
      </c>
      <c r="D177" s="6" t="s">
        <v>24</v>
      </c>
      <c r="E177" s="6" t="s">
        <v>23</v>
      </c>
      <c r="F177" s="6" t="n">
        <v>3</v>
      </c>
      <c r="G177" s="8" t="n">
        <v>40000</v>
      </c>
      <c r="H177" s="8" t="n">
        <v>25000</v>
      </c>
      <c r="I177" s="8" t="n">
        <f aca="false">F177*G177</f>
        <v>120000</v>
      </c>
      <c r="J177" s="8" t="n">
        <f aca="false">F177*(G177-H177)</f>
        <v>45000</v>
      </c>
      <c r="K177" s="9" t="n">
        <f aca="false">(G177-H177)/G177</f>
        <v>0.375</v>
      </c>
    </row>
    <row r="178" customFormat="false" ht="15" hidden="false" customHeight="false" outlineLevel="0" collapsed="false">
      <c r="A178" s="2" t="n">
        <v>37</v>
      </c>
      <c r="B178" s="3" t="n">
        <v>45763</v>
      </c>
      <c r="C178" s="2" t="s">
        <v>14</v>
      </c>
      <c r="D178" s="2" t="s">
        <v>15</v>
      </c>
      <c r="E178" s="2" t="s">
        <v>16</v>
      </c>
      <c r="F178" s="2" t="n">
        <v>42</v>
      </c>
      <c r="G178" s="4" t="n">
        <v>1500</v>
      </c>
      <c r="H178" s="4" t="n">
        <v>900</v>
      </c>
      <c r="I178" s="4" t="n">
        <f aca="false">F178*G178</f>
        <v>63000</v>
      </c>
      <c r="J178" s="4" t="n">
        <f aca="false">F178*(G178-H178)</f>
        <v>25200</v>
      </c>
      <c r="K178" s="5" t="n">
        <f aca="false">(G178-H178)/G178</f>
        <v>0.4</v>
      </c>
    </row>
    <row r="179" customFormat="false" ht="15" hidden="false" customHeight="false" outlineLevel="0" collapsed="false">
      <c r="A179" s="6" t="n">
        <v>243</v>
      </c>
      <c r="B179" s="7" t="n">
        <v>45763</v>
      </c>
      <c r="C179" s="6" t="s">
        <v>18</v>
      </c>
      <c r="D179" s="6" t="s">
        <v>24</v>
      </c>
      <c r="E179" s="6" t="s">
        <v>23</v>
      </c>
      <c r="F179" s="6" t="n">
        <v>2</v>
      </c>
      <c r="G179" s="8" t="n">
        <v>40000</v>
      </c>
      <c r="H179" s="8" t="n">
        <v>25000</v>
      </c>
      <c r="I179" s="8" t="n">
        <f aca="false">F179*G179</f>
        <v>80000</v>
      </c>
      <c r="J179" s="8" t="n">
        <f aca="false">F179*(G179-H179)</f>
        <v>30000</v>
      </c>
      <c r="K179" s="9" t="n">
        <f aca="false">(G179-H179)/G179</f>
        <v>0.375</v>
      </c>
    </row>
    <row r="180" customFormat="false" ht="15" hidden="false" customHeight="false" outlineLevel="0" collapsed="false">
      <c r="A180" s="2" t="n">
        <v>40</v>
      </c>
      <c r="B180" s="3" t="n">
        <v>45764</v>
      </c>
      <c r="C180" s="2" t="s">
        <v>14</v>
      </c>
      <c r="D180" s="2" t="s">
        <v>15</v>
      </c>
      <c r="E180" s="2" t="s">
        <v>16</v>
      </c>
      <c r="F180" s="2" t="n">
        <v>49</v>
      </c>
      <c r="G180" s="4" t="n">
        <v>1500</v>
      </c>
      <c r="H180" s="4" t="n">
        <v>900</v>
      </c>
      <c r="I180" s="4" t="n">
        <f aca="false">F180*G180</f>
        <v>73500</v>
      </c>
      <c r="J180" s="4" t="n">
        <f aca="false">F180*(G180-H180)</f>
        <v>29400</v>
      </c>
      <c r="K180" s="5" t="n">
        <f aca="false">(G180-H180)/G180</f>
        <v>0.4</v>
      </c>
    </row>
    <row r="181" customFormat="false" ht="15" hidden="false" customHeight="false" outlineLevel="0" collapsed="false">
      <c r="A181" s="6" t="n">
        <v>272</v>
      </c>
      <c r="B181" s="7" t="n">
        <v>45764</v>
      </c>
      <c r="C181" s="6" t="s">
        <v>14</v>
      </c>
      <c r="D181" s="6" t="s">
        <v>19</v>
      </c>
      <c r="E181" s="6" t="s">
        <v>13</v>
      </c>
      <c r="F181" s="6" t="n">
        <v>2</v>
      </c>
      <c r="G181" s="8" t="n">
        <v>15000</v>
      </c>
      <c r="H181" s="8" t="n">
        <v>7000</v>
      </c>
      <c r="I181" s="8" t="n">
        <f aca="false">F181*G181</f>
        <v>30000</v>
      </c>
      <c r="J181" s="8" t="n">
        <f aca="false">F181*(G181-H181)</f>
        <v>16000</v>
      </c>
      <c r="K181" s="9" t="n">
        <f aca="false">(G181-H181)/G181</f>
        <v>0.533333333333333</v>
      </c>
    </row>
    <row r="182" customFormat="false" ht="15" hidden="false" customHeight="false" outlineLevel="0" collapsed="false">
      <c r="A182" s="2" t="n">
        <v>184</v>
      </c>
      <c r="B182" s="3" t="n">
        <v>45766</v>
      </c>
      <c r="C182" s="2" t="s">
        <v>18</v>
      </c>
      <c r="D182" s="2" t="s">
        <v>25</v>
      </c>
      <c r="E182" s="2" t="s">
        <v>23</v>
      </c>
      <c r="F182" s="2" t="n">
        <v>4</v>
      </c>
      <c r="G182" s="4" t="n">
        <v>250000</v>
      </c>
      <c r="H182" s="4" t="n">
        <v>200000</v>
      </c>
      <c r="I182" s="4" t="n">
        <f aca="false">F182*G182</f>
        <v>1000000</v>
      </c>
      <c r="J182" s="4" t="n">
        <f aca="false">F182*(G182-H182)</f>
        <v>200000</v>
      </c>
      <c r="K182" s="5" t="n">
        <f aca="false">(G182-H182)/G182</f>
        <v>0.2</v>
      </c>
    </row>
    <row r="183" customFormat="false" ht="15" hidden="false" customHeight="false" outlineLevel="0" collapsed="false">
      <c r="A183" s="6" t="n">
        <v>82</v>
      </c>
      <c r="B183" s="7" t="n">
        <v>45766</v>
      </c>
      <c r="C183" s="6" t="s">
        <v>18</v>
      </c>
      <c r="D183" s="6" t="s">
        <v>15</v>
      </c>
      <c r="E183" s="6" t="s">
        <v>16</v>
      </c>
      <c r="F183" s="6" t="n">
        <v>29</v>
      </c>
      <c r="G183" s="8" t="n">
        <v>1500</v>
      </c>
      <c r="H183" s="8" t="n">
        <v>900</v>
      </c>
      <c r="I183" s="8" t="n">
        <f aca="false">F183*G183</f>
        <v>43500</v>
      </c>
      <c r="J183" s="8" t="n">
        <f aca="false">F183*(G183-H183)</f>
        <v>17400</v>
      </c>
      <c r="K183" s="9" t="n">
        <f aca="false">(G183-H183)/G183</f>
        <v>0.4</v>
      </c>
    </row>
    <row r="184" customFormat="false" ht="15" hidden="false" customHeight="false" outlineLevel="0" collapsed="false">
      <c r="A184" s="2" t="n">
        <v>191</v>
      </c>
      <c r="B184" s="3" t="n">
        <v>45767</v>
      </c>
      <c r="C184" s="2" t="s">
        <v>11</v>
      </c>
      <c r="D184" s="2" t="s">
        <v>17</v>
      </c>
      <c r="E184" s="2" t="s">
        <v>16</v>
      </c>
      <c r="F184" s="2" t="n">
        <v>23</v>
      </c>
      <c r="G184" s="4" t="n">
        <v>85000</v>
      </c>
      <c r="H184" s="4" t="n">
        <v>75000</v>
      </c>
      <c r="I184" s="4" t="n">
        <f aca="false">F184*G184</f>
        <v>1955000</v>
      </c>
      <c r="J184" s="4" t="n">
        <f aca="false">F184*(G184-H184)</f>
        <v>230000</v>
      </c>
      <c r="K184" s="5" t="n">
        <f aca="false">(G184-H184)/G184</f>
        <v>0.117647058823529</v>
      </c>
    </row>
    <row r="185" customFormat="false" ht="15" hidden="false" customHeight="false" outlineLevel="0" collapsed="false">
      <c r="A185" s="6" t="n">
        <v>205</v>
      </c>
      <c r="B185" s="7" t="n">
        <v>45768</v>
      </c>
      <c r="C185" s="6" t="s">
        <v>14</v>
      </c>
      <c r="D185" s="6" t="s">
        <v>24</v>
      </c>
      <c r="E185" s="6" t="s">
        <v>23</v>
      </c>
      <c r="F185" s="6" t="n">
        <v>2</v>
      </c>
      <c r="G185" s="8" t="n">
        <v>40000</v>
      </c>
      <c r="H185" s="8" t="n">
        <v>25000</v>
      </c>
      <c r="I185" s="8" t="n">
        <f aca="false">F185*G185</f>
        <v>80000</v>
      </c>
      <c r="J185" s="8" t="n">
        <f aca="false">F185*(G185-H185)</f>
        <v>30000</v>
      </c>
      <c r="K185" s="9" t="n">
        <f aca="false">(G185-H185)/G185</f>
        <v>0.375</v>
      </c>
    </row>
    <row r="186" customFormat="false" ht="15" hidden="false" customHeight="false" outlineLevel="0" collapsed="false">
      <c r="A186" s="2" t="n">
        <v>261</v>
      </c>
      <c r="B186" s="3" t="n">
        <v>45768</v>
      </c>
      <c r="C186" s="2" t="s">
        <v>18</v>
      </c>
      <c r="D186" s="2" t="s">
        <v>22</v>
      </c>
      <c r="E186" s="2" t="s">
        <v>23</v>
      </c>
      <c r="F186" s="2" t="n">
        <v>3</v>
      </c>
      <c r="G186" s="4" t="n">
        <v>600000</v>
      </c>
      <c r="H186" s="4" t="n">
        <v>520000</v>
      </c>
      <c r="I186" s="4" t="n">
        <f aca="false">F186*G186</f>
        <v>1800000</v>
      </c>
      <c r="J186" s="4" t="n">
        <f aca="false">F186*(G186-H186)</f>
        <v>240000</v>
      </c>
      <c r="K186" s="5" t="n">
        <f aca="false">(G186-H186)/G186</f>
        <v>0.133333333333333</v>
      </c>
    </row>
    <row r="187" customFormat="false" ht="15" hidden="false" customHeight="false" outlineLevel="0" collapsed="false">
      <c r="A187" s="6" t="n">
        <v>291</v>
      </c>
      <c r="B187" s="7" t="n">
        <v>45769</v>
      </c>
      <c r="C187" s="6" t="s">
        <v>11</v>
      </c>
      <c r="D187" s="6" t="s">
        <v>24</v>
      </c>
      <c r="E187" s="6" t="s">
        <v>23</v>
      </c>
      <c r="F187" s="6" t="n">
        <v>5</v>
      </c>
      <c r="G187" s="8" t="n">
        <v>40000</v>
      </c>
      <c r="H187" s="8" t="n">
        <v>25000</v>
      </c>
      <c r="I187" s="8" t="n">
        <f aca="false">F187*G187</f>
        <v>200000</v>
      </c>
      <c r="J187" s="8" t="n">
        <f aca="false">F187*(G187-H187)</f>
        <v>75000</v>
      </c>
      <c r="K187" s="9" t="n">
        <f aca="false">(G187-H187)/G187</f>
        <v>0.375</v>
      </c>
    </row>
    <row r="188" customFormat="false" ht="15" hidden="false" customHeight="false" outlineLevel="0" collapsed="false">
      <c r="A188" s="2" t="n">
        <v>150</v>
      </c>
      <c r="B188" s="3" t="n">
        <v>45772</v>
      </c>
      <c r="C188" s="2" t="s">
        <v>18</v>
      </c>
      <c r="D188" s="2" t="s">
        <v>25</v>
      </c>
      <c r="E188" s="2" t="s">
        <v>23</v>
      </c>
      <c r="F188" s="2" t="n">
        <v>5</v>
      </c>
      <c r="G188" s="4" t="n">
        <v>250000</v>
      </c>
      <c r="H188" s="4" t="n">
        <v>200000</v>
      </c>
      <c r="I188" s="4" t="n">
        <f aca="false">F188*G188</f>
        <v>1250000</v>
      </c>
      <c r="J188" s="4" t="n">
        <f aca="false">F188*(G188-H188)</f>
        <v>250000</v>
      </c>
      <c r="K188" s="5" t="n">
        <f aca="false">(G188-H188)/G188</f>
        <v>0.2</v>
      </c>
    </row>
    <row r="189" customFormat="false" ht="15" hidden="false" customHeight="false" outlineLevel="0" collapsed="false">
      <c r="A189" s="6" t="n">
        <v>251</v>
      </c>
      <c r="B189" s="7" t="n">
        <v>45773</v>
      </c>
      <c r="C189" s="6" t="s">
        <v>18</v>
      </c>
      <c r="D189" s="6" t="s">
        <v>22</v>
      </c>
      <c r="E189" s="6" t="s">
        <v>23</v>
      </c>
      <c r="F189" s="6" t="n">
        <v>5</v>
      </c>
      <c r="G189" s="8" t="n">
        <v>600000</v>
      </c>
      <c r="H189" s="8" t="n">
        <v>520000</v>
      </c>
      <c r="I189" s="8" t="n">
        <f aca="false">F189*G189</f>
        <v>3000000</v>
      </c>
      <c r="J189" s="8" t="n">
        <f aca="false">F189*(G189-H189)</f>
        <v>400000</v>
      </c>
      <c r="K189" s="9" t="n">
        <f aca="false">(G189-H189)/G189</f>
        <v>0.133333333333333</v>
      </c>
    </row>
    <row r="190" customFormat="false" ht="15" hidden="false" customHeight="false" outlineLevel="0" collapsed="false">
      <c r="A190" s="2" t="n">
        <v>105</v>
      </c>
      <c r="B190" s="3" t="n">
        <v>45774</v>
      </c>
      <c r="C190" s="2" t="s">
        <v>11</v>
      </c>
      <c r="D190" s="2" t="s">
        <v>22</v>
      </c>
      <c r="E190" s="2" t="s">
        <v>23</v>
      </c>
      <c r="F190" s="2" t="n">
        <v>1</v>
      </c>
      <c r="G190" s="4" t="n">
        <v>600000</v>
      </c>
      <c r="H190" s="4" t="n">
        <v>520000</v>
      </c>
      <c r="I190" s="4" t="n">
        <f aca="false">F190*G190</f>
        <v>600000</v>
      </c>
      <c r="J190" s="4" t="n">
        <f aca="false">F190*(G190-H190)</f>
        <v>80000</v>
      </c>
      <c r="K190" s="5" t="n">
        <f aca="false">(G190-H190)/G190</f>
        <v>0.133333333333333</v>
      </c>
    </row>
    <row r="191" customFormat="false" ht="15" hidden="false" customHeight="false" outlineLevel="0" collapsed="false">
      <c r="A191" s="6" t="n">
        <v>230</v>
      </c>
      <c r="B191" s="7" t="n">
        <v>45774</v>
      </c>
      <c r="C191" s="6" t="s">
        <v>11</v>
      </c>
      <c r="D191" s="6" t="s">
        <v>20</v>
      </c>
      <c r="E191" s="6" t="s">
        <v>16</v>
      </c>
      <c r="F191" s="6" t="n">
        <v>29</v>
      </c>
      <c r="G191" s="8" t="n">
        <v>18000</v>
      </c>
      <c r="H191" s="8" t="n">
        <v>14000</v>
      </c>
      <c r="I191" s="8" t="n">
        <f aca="false">F191*G191</f>
        <v>522000</v>
      </c>
      <c r="J191" s="8" t="n">
        <f aca="false">F191*(G191-H191)</f>
        <v>116000</v>
      </c>
      <c r="K191" s="9" t="n">
        <f aca="false">(G191-H191)/G191</f>
        <v>0.222222222222222</v>
      </c>
    </row>
    <row r="192" customFormat="false" ht="15" hidden="false" customHeight="false" outlineLevel="0" collapsed="false">
      <c r="A192" s="2" t="n">
        <v>193</v>
      </c>
      <c r="B192" s="3" t="n">
        <v>45774</v>
      </c>
      <c r="C192" s="2" t="s">
        <v>11</v>
      </c>
      <c r="D192" s="2" t="s">
        <v>15</v>
      </c>
      <c r="E192" s="2" t="s">
        <v>16</v>
      </c>
      <c r="F192" s="2" t="n">
        <v>28</v>
      </c>
      <c r="G192" s="4" t="n">
        <v>1500</v>
      </c>
      <c r="H192" s="4" t="n">
        <v>900</v>
      </c>
      <c r="I192" s="4" t="n">
        <f aca="false">F192*G192</f>
        <v>42000</v>
      </c>
      <c r="J192" s="4" t="n">
        <f aca="false">F192*(G192-H192)</f>
        <v>16800</v>
      </c>
      <c r="K192" s="5" t="n">
        <f aca="false">(G192-H192)/G192</f>
        <v>0.4</v>
      </c>
    </row>
    <row r="193" customFormat="false" ht="15" hidden="false" customHeight="false" outlineLevel="0" collapsed="false">
      <c r="A193" s="6" t="n">
        <v>160</v>
      </c>
      <c r="B193" s="7" t="n">
        <v>45774</v>
      </c>
      <c r="C193" s="6" t="s">
        <v>14</v>
      </c>
      <c r="D193" s="6" t="s">
        <v>17</v>
      </c>
      <c r="E193" s="6" t="s">
        <v>16</v>
      </c>
      <c r="F193" s="6" t="n">
        <v>10</v>
      </c>
      <c r="G193" s="8" t="n">
        <v>85000</v>
      </c>
      <c r="H193" s="8" t="n">
        <v>75000</v>
      </c>
      <c r="I193" s="8" t="n">
        <f aca="false">F193*G193</f>
        <v>850000</v>
      </c>
      <c r="J193" s="8" t="n">
        <f aca="false">F193*(G193-H193)</f>
        <v>100000</v>
      </c>
      <c r="K193" s="9" t="n">
        <f aca="false">(G193-H193)/G193</f>
        <v>0.117647058823529</v>
      </c>
    </row>
    <row r="194" customFormat="false" ht="15" hidden="false" customHeight="false" outlineLevel="0" collapsed="false">
      <c r="A194" s="2" t="n">
        <v>216</v>
      </c>
      <c r="B194" s="3" t="n">
        <v>45774</v>
      </c>
      <c r="C194" s="2" t="s">
        <v>18</v>
      </c>
      <c r="D194" s="2" t="s">
        <v>12</v>
      </c>
      <c r="E194" s="2" t="s">
        <v>13</v>
      </c>
      <c r="F194" s="2" t="n">
        <v>1</v>
      </c>
      <c r="G194" s="4" t="n">
        <v>35000</v>
      </c>
      <c r="H194" s="4" t="n">
        <v>20000</v>
      </c>
      <c r="I194" s="4" t="n">
        <f aca="false">F194*G194</f>
        <v>35000</v>
      </c>
      <c r="J194" s="4" t="n">
        <f aca="false">F194*(G194-H194)</f>
        <v>15000</v>
      </c>
      <c r="K194" s="5" t="n">
        <f aca="false">(G194-H194)/G194</f>
        <v>0.428571428571429</v>
      </c>
    </row>
    <row r="195" customFormat="false" ht="15" hidden="false" customHeight="false" outlineLevel="0" collapsed="false">
      <c r="A195" s="6" t="n">
        <v>219</v>
      </c>
      <c r="B195" s="7" t="n">
        <v>45774</v>
      </c>
      <c r="C195" s="6" t="s">
        <v>18</v>
      </c>
      <c r="D195" s="6" t="s">
        <v>20</v>
      </c>
      <c r="E195" s="6" t="s">
        <v>16</v>
      </c>
      <c r="F195" s="6" t="n">
        <v>37</v>
      </c>
      <c r="G195" s="8" t="n">
        <v>18000</v>
      </c>
      <c r="H195" s="8" t="n">
        <v>14000</v>
      </c>
      <c r="I195" s="8" t="n">
        <f aca="false">F195*G195</f>
        <v>666000</v>
      </c>
      <c r="J195" s="8" t="n">
        <f aca="false">F195*(G195-H195)</f>
        <v>148000</v>
      </c>
      <c r="K195" s="9" t="n">
        <f aca="false">(G195-H195)/G195</f>
        <v>0.222222222222222</v>
      </c>
    </row>
    <row r="196" customFormat="false" ht="15" hidden="false" customHeight="false" outlineLevel="0" collapsed="false">
      <c r="A196" s="2" t="n">
        <v>127</v>
      </c>
      <c r="B196" s="3" t="n">
        <v>45775</v>
      </c>
      <c r="C196" s="2" t="s">
        <v>14</v>
      </c>
      <c r="D196" s="2" t="s">
        <v>22</v>
      </c>
      <c r="E196" s="2" t="s">
        <v>23</v>
      </c>
      <c r="F196" s="2" t="n">
        <v>5</v>
      </c>
      <c r="G196" s="4" t="n">
        <v>600000</v>
      </c>
      <c r="H196" s="4" t="n">
        <v>520000</v>
      </c>
      <c r="I196" s="4" t="n">
        <f aca="false">F196*G196</f>
        <v>3000000</v>
      </c>
      <c r="J196" s="4" t="n">
        <f aca="false">F196*(G196-H196)</f>
        <v>400000</v>
      </c>
      <c r="K196" s="5" t="n">
        <f aca="false">(G196-H196)/G196</f>
        <v>0.133333333333333</v>
      </c>
    </row>
    <row r="197" customFormat="false" ht="15" hidden="false" customHeight="false" outlineLevel="0" collapsed="false">
      <c r="A197" s="6" t="n">
        <v>183</v>
      </c>
      <c r="B197" s="7" t="n">
        <v>45775</v>
      </c>
      <c r="C197" s="6" t="s">
        <v>14</v>
      </c>
      <c r="D197" s="6" t="s">
        <v>17</v>
      </c>
      <c r="E197" s="6" t="s">
        <v>16</v>
      </c>
      <c r="F197" s="6" t="n">
        <v>6</v>
      </c>
      <c r="G197" s="8" t="n">
        <v>85000</v>
      </c>
      <c r="H197" s="8" t="n">
        <v>75000</v>
      </c>
      <c r="I197" s="8" t="n">
        <f aca="false">F197*G197</f>
        <v>510000</v>
      </c>
      <c r="J197" s="8" t="n">
        <f aca="false">F197*(G197-H197)</f>
        <v>60000</v>
      </c>
      <c r="K197" s="9" t="n">
        <f aca="false">(G197-H197)/G197</f>
        <v>0.117647058823529</v>
      </c>
    </row>
    <row r="198" customFormat="false" ht="15" hidden="false" customHeight="false" outlineLevel="0" collapsed="false">
      <c r="A198" s="2" t="n">
        <v>109</v>
      </c>
      <c r="B198" s="3" t="n">
        <v>45775</v>
      </c>
      <c r="C198" s="2" t="s">
        <v>14</v>
      </c>
      <c r="D198" s="2" t="s">
        <v>25</v>
      </c>
      <c r="E198" s="2" t="s">
        <v>23</v>
      </c>
      <c r="F198" s="2" t="n">
        <v>1</v>
      </c>
      <c r="G198" s="4" t="n">
        <v>250000</v>
      </c>
      <c r="H198" s="4" t="n">
        <v>200000</v>
      </c>
      <c r="I198" s="4" t="n">
        <f aca="false">F198*G198</f>
        <v>250000</v>
      </c>
      <c r="J198" s="4" t="n">
        <f aca="false">F198*(G198-H198)</f>
        <v>50000</v>
      </c>
      <c r="K198" s="5" t="n">
        <f aca="false">(G198-H198)/G198</f>
        <v>0.2</v>
      </c>
    </row>
    <row r="199" customFormat="false" ht="15" hidden="false" customHeight="false" outlineLevel="0" collapsed="false">
      <c r="A199" s="6" t="n">
        <v>138</v>
      </c>
      <c r="B199" s="7" t="n">
        <v>45775</v>
      </c>
      <c r="C199" s="6" t="s">
        <v>18</v>
      </c>
      <c r="D199" s="6" t="s">
        <v>17</v>
      </c>
      <c r="E199" s="6" t="s">
        <v>16</v>
      </c>
      <c r="F199" s="6" t="n">
        <v>37</v>
      </c>
      <c r="G199" s="8" t="n">
        <v>85000</v>
      </c>
      <c r="H199" s="8" t="n">
        <v>75000</v>
      </c>
      <c r="I199" s="8" t="n">
        <f aca="false">F199*G199</f>
        <v>3145000</v>
      </c>
      <c r="J199" s="8" t="n">
        <f aca="false">F199*(G199-H199)</f>
        <v>370000</v>
      </c>
      <c r="K199" s="9" t="n">
        <f aca="false">(G199-H199)/G199</f>
        <v>0.117647058823529</v>
      </c>
    </row>
    <row r="200" customFormat="false" ht="15" hidden="false" customHeight="false" outlineLevel="0" collapsed="false">
      <c r="A200" s="2" t="n">
        <v>26</v>
      </c>
      <c r="B200" s="3" t="n">
        <v>45776</v>
      </c>
      <c r="C200" s="2" t="s">
        <v>14</v>
      </c>
      <c r="D200" s="2" t="s">
        <v>19</v>
      </c>
      <c r="E200" s="2" t="s">
        <v>13</v>
      </c>
      <c r="F200" s="2" t="n">
        <v>2</v>
      </c>
      <c r="G200" s="4" t="n">
        <v>15000</v>
      </c>
      <c r="H200" s="4" t="n">
        <v>7000</v>
      </c>
      <c r="I200" s="4" t="n">
        <f aca="false">F200*G200</f>
        <v>30000</v>
      </c>
      <c r="J200" s="4" t="n">
        <f aca="false">F200*(G200-H200)</f>
        <v>16000</v>
      </c>
      <c r="K200" s="5" t="n">
        <f aca="false">(G200-H200)/G200</f>
        <v>0.533333333333333</v>
      </c>
    </row>
    <row r="201" customFormat="false" ht="15" hidden="false" customHeight="false" outlineLevel="0" collapsed="false">
      <c r="A201" s="6" t="n">
        <v>148</v>
      </c>
      <c r="B201" s="7" t="n">
        <v>45776</v>
      </c>
      <c r="C201" s="6" t="s">
        <v>14</v>
      </c>
      <c r="D201" s="6" t="s">
        <v>22</v>
      </c>
      <c r="E201" s="6" t="s">
        <v>23</v>
      </c>
      <c r="F201" s="6" t="n">
        <v>3</v>
      </c>
      <c r="G201" s="8" t="n">
        <v>600000</v>
      </c>
      <c r="H201" s="8" t="n">
        <v>520000</v>
      </c>
      <c r="I201" s="8" t="n">
        <f aca="false">F201*G201</f>
        <v>1800000</v>
      </c>
      <c r="J201" s="8" t="n">
        <f aca="false">F201*(G201-H201)</f>
        <v>240000</v>
      </c>
      <c r="K201" s="9" t="n">
        <f aca="false">(G201-H201)/G201</f>
        <v>0.133333333333333</v>
      </c>
    </row>
    <row r="202" customFormat="false" ht="15" hidden="false" customHeight="false" outlineLevel="0" collapsed="false">
      <c r="A202" s="2" t="n">
        <v>169</v>
      </c>
      <c r="B202" s="3" t="n">
        <v>45777</v>
      </c>
      <c r="C202" s="2" t="s">
        <v>14</v>
      </c>
      <c r="D202" s="2" t="s">
        <v>15</v>
      </c>
      <c r="E202" s="2" t="s">
        <v>16</v>
      </c>
      <c r="F202" s="2" t="n">
        <v>7</v>
      </c>
      <c r="G202" s="4" t="n">
        <v>1500</v>
      </c>
      <c r="H202" s="4" t="n">
        <v>900</v>
      </c>
      <c r="I202" s="4" t="n">
        <f aca="false">F202*G202</f>
        <v>10500</v>
      </c>
      <c r="J202" s="4" t="n">
        <f aca="false">F202*(G202-H202)</f>
        <v>4200</v>
      </c>
      <c r="K202" s="5" t="n">
        <f aca="false">(G202-H202)/G202</f>
        <v>0.4</v>
      </c>
    </row>
    <row r="203" customFormat="false" ht="15" hidden="false" customHeight="false" outlineLevel="0" collapsed="false">
      <c r="A203" s="6" t="n">
        <v>293</v>
      </c>
      <c r="B203" s="7" t="n">
        <v>45778</v>
      </c>
      <c r="C203" s="6" t="s">
        <v>14</v>
      </c>
      <c r="D203" s="6" t="s">
        <v>24</v>
      </c>
      <c r="E203" s="6" t="s">
        <v>23</v>
      </c>
      <c r="F203" s="6" t="n">
        <v>3</v>
      </c>
      <c r="G203" s="8" t="n">
        <v>40000</v>
      </c>
      <c r="H203" s="8" t="n">
        <v>25000</v>
      </c>
      <c r="I203" s="8" t="n">
        <f aca="false">F203*G203</f>
        <v>120000</v>
      </c>
      <c r="J203" s="8" t="n">
        <f aca="false">F203*(G203-H203)</f>
        <v>45000</v>
      </c>
      <c r="K203" s="9" t="n">
        <f aca="false">(G203-H203)/G203</f>
        <v>0.375</v>
      </c>
    </row>
    <row r="204" customFormat="false" ht="15" hidden="false" customHeight="false" outlineLevel="0" collapsed="false">
      <c r="A204" s="2" t="n">
        <v>38</v>
      </c>
      <c r="B204" s="3" t="n">
        <v>45779</v>
      </c>
      <c r="C204" s="2" t="s">
        <v>11</v>
      </c>
      <c r="D204" s="2" t="s">
        <v>17</v>
      </c>
      <c r="E204" s="2" t="s">
        <v>16</v>
      </c>
      <c r="F204" s="2" t="n">
        <v>43</v>
      </c>
      <c r="G204" s="4" t="n">
        <v>85000</v>
      </c>
      <c r="H204" s="4" t="n">
        <v>75000</v>
      </c>
      <c r="I204" s="4" t="n">
        <f aca="false">F204*G204</f>
        <v>3655000</v>
      </c>
      <c r="J204" s="4" t="n">
        <f aca="false">F204*(G204-H204)</f>
        <v>430000</v>
      </c>
      <c r="K204" s="5" t="n">
        <f aca="false">(G204-H204)/G204</f>
        <v>0.117647058823529</v>
      </c>
    </row>
    <row r="205" customFormat="false" ht="15" hidden="false" customHeight="false" outlineLevel="0" collapsed="false">
      <c r="A205" s="6" t="n">
        <v>34</v>
      </c>
      <c r="B205" s="7" t="n">
        <v>45779</v>
      </c>
      <c r="C205" s="6" t="s">
        <v>11</v>
      </c>
      <c r="D205" s="6" t="s">
        <v>22</v>
      </c>
      <c r="E205" s="6" t="s">
        <v>23</v>
      </c>
      <c r="F205" s="6" t="n">
        <v>1</v>
      </c>
      <c r="G205" s="8" t="n">
        <v>600000</v>
      </c>
      <c r="H205" s="8" t="n">
        <v>520000</v>
      </c>
      <c r="I205" s="8" t="n">
        <f aca="false">F205*G205</f>
        <v>600000</v>
      </c>
      <c r="J205" s="8" t="n">
        <f aca="false">F205*(G205-H205)</f>
        <v>80000</v>
      </c>
      <c r="K205" s="9" t="n">
        <f aca="false">(G205-H205)/G205</f>
        <v>0.133333333333333</v>
      </c>
    </row>
    <row r="206" customFormat="false" ht="15" hidden="false" customHeight="false" outlineLevel="0" collapsed="false">
      <c r="A206" s="2" t="n">
        <v>299</v>
      </c>
      <c r="B206" s="3" t="n">
        <v>45780</v>
      </c>
      <c r="C206" s="2" t="s">
        <v>18</v>
      </c>
      <c r="D206" s="2" t="s">
        <v>25</v>
      </c>
      <c r="E206" s="2" t="s">
        <v>23</v>
      </c>
      <c r="F206" s="2" t="n">
        <v>2</v>
      </c>
      <c r="G206" s="4" t="n">
        <v>250000</v>
      </c>
      <c r="H206" s="4" t="n">
        <v>200000</v>
      </c>
      <c r="I206" s="4" t="n">
        <f aca="false">F206*G206</f>
        <v>500000</v>
      </c>
      <c r="J206" s="4" t="n">
        <f aca="false">F206*(G206-H206)</f>
        <v>100000</v>
      </c>
      <c r="K206" s="5" t="n">
        <f aca="false">(G206-H206)/G206</f>
        <v>0.2</v>
      </c>
    </row>
    <row r="207" customFormat="false" ht="15" hidden="false" customHeight="false" outlineLevel="0" collapsed="false">
      <c r="A207" s="6" t="n">
        <v>140</v>
      </c>
      <c r="B207" s="7" t="n">
        <v>45781</v>
      </c>
      <c r="C207" s="6" t="s">
        <v>14</v>
      </c>
      <c r="D207" s="6" t="s">
        <v>25</v>
      </c>
      <c r="E207" s="6" t="s">
        <v>23</v>
      </c>
      <c r="F207" s="6" t="n">
        <v>3</v>
      </c>
      <c r="G207" s="8" t="n">
        <v>250000</v>
      </c>
      <c r="H207" s="8" t="n">
        <v>200000</v>
      </c>
      <c r="I207" s="8" t="n">
        <f aca="false">F207*G207</f>
        <v>750000</v>
      </c>
      <c r="J207" s="8" t="n">
        <f aca="false">F207*(G207-H207)</f>
        <v>150000</v>
      </c>
      <c r="K207" s="9" t="n">
        <f aca="false">(G207-H207)/G207</f>
        <v>0.2</v>
      </c>
    </row>
    <row r="208" customFormat="false" ht="15" hidden="false" customHeight="false" outlineLevel="0" collapsed="false">
      <c r="A208" s="2" t="n">
        <v>269</v>
      </c>
      <c r="B208" s="3" t="n">
        <v>45781</v>
      </c>
      <c r="C208" s="2" t="s">
        <v>14</v>
      </c>
      <c r="D208" s="2" t="s">
        <v>24</v>
      </c>
      <c r="E208" s="2" t="s">
        <v>23</v>
      </c>
      <c r="F208" s="2" t="n">
        <v>2</v>
      </c>
      <c r="G208" s="4" t="n">
        <v>40000</v>
      </c>
      <c r="H208" s="4" t="n">
        <v>25000</v>
      </c>
      <c r="I208" s="4" t="n">
        <f aca="false">F208*G208</f>
        <v>80000</v>
      </c>
      <c r="J208" s="4" t="n">
        <f aca="false">F208*(G208-H208)</f>
        <v>30000</v>
      </c>
      <c r="K208" s="5" t="n">
        <f aca="false">(G208-H208)/G208</f>
        <v>0.375</v>
      </c>
    </row>
    <row r="209" customFormat="false" ht="15" hidden="false" customHeight="false" outlineLevel="0" collapsed="false">
      <c r="A209" s="6" t="n">
        <v>218</v>
      </c>
      <c r="B209" s="7" t="n">
        <v>45781</v>
      </c>
      <c r="C209" s="6" t="s">
        <v>18</v>
      </c>
      <c r="D209" s="6" t="s">
        <v>17</v>
      </c>
      <c r="E209" s="6" t="s">
        <v>16</v>
      </c>
      <c r="F209" s="6" t="n">
        <v>47</v>
      </c>
      <c r="G209" s="8" t="n">
        <v>85000</v>
      </c>
      <c r="H209" s="8" t="n">
        <v>75000</v>
      </c>
      <c r="I209" s="8" t="n">
        <f aca="false">F209*G209</f>
        <v>3995000</v>
      </c>
      <c r="J209" s="8" t="n">
        <f aca="false">F209*(G209-H209)</f>
        <v>470000</v>
      </c>
      <c r="K209" s="9" t="n">
        <f aca="false">(G209-H209)/G209</f>
        <v>0.117647058823529</v>
      </c>
    </row>
    <row r="210" customFormat="false" ht="15" hidden="false" customHeight="false" outlineLevel="0" collapsed="false">
      <c r="A210" s="2" t="n">
        <v>61</v>
      </c>
      <c r="B210" s="3" t="n">
        <v>45781</v>
      </c>
      <c r="C210" s="2" t="s">
        <v>14</v>
      </c>
      <c r="D210" s="2" t="s">
        <v>17</v>
      </c>
      <c r="E210" s="2" t="s">
        <v>16</v>
      </c>
      <c r="F210" s="2" t="n">
        <v>28</v>
      </c>
      <c r="G210" s="4" t="n">
        <v>85000</v>
      </c>
      <c r="H210" s="4" t="n">
        <v>75000</v>
      </c>
      <c r="I210" s="4" t="n">
        <f aca="false">F210*G210</f>
        <v>2380000</v>
      </c>
      <c r="J210" s="4" t="n">
        <f aca="false">F210*(G210-H210)</f>
        <v>280000</v>
      </c>
      <c r="K210" s="5" t="n">
        <f aca="false">(G210-H210)/G210</f>
        <v>0.117647058823529</v>
      </c>
    </row>
    <row r="211" customFormat="false" ht="15" hidden="false" customHeight="false" outlineLevel="0" collapsed="false">
      <c r="A211" s="6" t="n">
        <v>304</v>
      </c>
      <c r="B211" s="7" t="n">
        <v>45781</v>
      </c>
      <c r="C211" s="6" t="s">
        <v>18</v>
      </c>
      <c r="D211" s="6" t="s">
        <v>24</v>
      </c>
      <c r="E211" s="6" t="s">
        <v>23</v>
      </c>
      <c r="F211" s="6" t="n">
        <v>3</v>
      </c>
      <c r="G211" s="8" t="n">
        <v>40000</v>
      </c>
      <c r="H211" s="8" t="n">
        <v>25000</v>
      </c>
      <c r="I211" s="8" t="n">
        <f aca="false">F211*G211</f>
        <v>120000</v>
      </c>
      <c r="J211" s="8" t="n">
        <f aca="false">F211*(G211-H211)</f>
        <v>45000</v>
      </c>
      <c r="K211" s="9" t="n">
        <f aca="false">(G211-H211)/G211</f>
        <v>0.375</v>
      </c>
    </row>
    <row r="212" customFormat="false" ht="15" hidden="false" customHeight="false" outlineLevel="0" collapsed="false">
      <c r="A212" s="2" t="n">
        <v>52</v>
      </c>
      <c r="B212" s="3" t="n">
        <v>45782</v>
      </c>
      <c r="C212" s="2" t="s">
        <v>18</v>
      </c>
      <c r="D212" s="2" t="s">
        <v>12</v>
      </c>
      <c r="E212" s="2" t="s">
        <v>13</v>
      </c>
      <c r="F212" s="2" t="n">
        <v>2</v>
      </c>
      <c r="G212" s="4" t="n">
        <v>35000</v>
      </c>
      <c r="H212" s="4" t="n">
        <v>20000</v>
      </c>
      <c r="I212" s="4" t="n">
        <f aca="false">F212*G212</f>
        <v>70000</v>
      </c>
      <c r="J212" s="4" t="n">
        <f aca="false">F212*(G212-H212)</f>
        <v>30000</v>
      </c>
      <c r="K212" s="5" t="n">
        <f aca="false">(G212-H212)/G212</f>
        <v>0.428571428571429</v>
      </c>
    </row>
    <row r="213" customFormat="false" ht="15" hidden="false" customHeight="false" outlineLevel="0" collapsed="false">
      <c r="A213" s="6" t="n">
        <v>155</v>
      </c>
      <c r="B213" s="7" t="n">
        <v>45782</v>
      </c>
      <c r="C213" s="6" t="s">
        <v>14</v>
      </c>
      <c r="D213" s="6" t="s">
        <v>19</v>
      </c>
      <c r="E213" s="6" t="s">
        <v>13</v>
      </c>
      <c r="F213" s="6" t="n">
        <v>3</v>
      </c>
      <c r="G213" s="8" t="n">
        <v>15000</v>
      </c>
      <c r="H213" s="8" t="n">
        <v>7000</v>
      </c>
      <c r="I213" s="8" t="n">
        <f aca="false">F213*G213</f>
        <v>45000</v>
      </c>
      <c r="J213" s="8" t="n">
        <f aca="false">F213*(G213-H213)</f>
        <v>24000</v>
      </c>
      <c r="K213" s="9" t="n">
        <f aca="false">(G213-H213)/G213</f>
        <v>0.533333333333333</v>
      </c>
    </row>
    <row r="214" customFormat="false" ht="15" hidden="false" customHeight="false" outlineLevel="0" collapsed="false">
      <c r="A214" s="2" t="n">
        <v>305</v>
      </c>
      <c r="B214" s="3" t="n">
        <v>45782</v>
      </c>
      <c r="C214" s="2" t="s">
        <v>18</v>
      </c>
      <c r="D214" s="2" t="s">
        <v>22</v>
      </c>
      <c r="E214" s="2" t="s">
        <v>23</v>
      </c>
      <c r="F214" s="2" t="n">
        <v>1</v>
      </c>
      <c r="G214" s="4" t="n">
        <v>600000</v>
      </c>
      <c r="H214" s="4" t="n">
        <v>520000</v>
      </c>
      <c r="I214" s="4" t="n">
        <f aca="false">F214*G214</f>
        <v>600000</v>
      </c>
      <c r="J214" s="4" t="n">
        <f aca="false">F214*(G214-H214)</f>
        <v>80000</v>
      </c>
      <c r="K214" s="5" t="n">
        <f aca="false">(G214-H214)/G214</f>
        <v>0.133333333333333</v>
      </c>
    </row>
    <row r="215" customFormat="false" ht="15" hidden="false" customHeight="false" outlineLevel="0" collapsed="false">
      <c r="A215" s="6" t="n">
        <v>306</v>
      </c>
      <c r="B215" s="7" t="n">
        <v>45783</v>
      </c>
      <c r="C215" s="6" t="s">
        <v>18</v>
      </c>
      <c r="D215" s="6" t="s">
        <v>25</v>
      </c>
      <c r="E215" s="6" t="s">
        <v>23</v>
      </c>
      <c r="F215" s="6" t="n">
        <v>5</v>
      </c>
      <c r="G215" s="8" t="n">
        <v>250000</v>
      </c>
      <c r="H215" s="8" t="n">
        <v>200000</v>
      </c>
      <c r="I215" s="8" t="n">
        <f aca="false">F215*G215</f>
        <v>1250000</v>
      </c>
      <c r="J215" s="8" t="n">
        <f aca="false">F215*(G215-H215)</f>
        <v>250000</v>
      </c>
      <c r="K215" s="9" t="n">
        <f aca="false">(G215-H215)/G215</f>
        <v>0.2</v>
      </c>
    </row>
    <row r="216" customFormat="false" ht="15" hidden="false" customHeight="false" outlineLevel="0" collapsed="false">
      <c r="A216" s="2" t="n">
        <v>298</v>
      </c>
      <c r="B216" s="3" t="n">
        <v>45783</v>
      </c>
      <c r="C216" s="2" t="s">
        <v>18</v>
      </c>
      <c r="D216" s="2" t="s">
        <v>20</v>
      </c>
      <c r="E216" s="2" t="s">
        <v>16</v>
      </c>
      <c r="F216" s="2" t="n">
        <v>24</v>
      </c>
      <c r="G216" s="4" t="n">
        <v>18000</v>
      </c>
      <c r="H216" s="4" t="n">
        <v>14000</v>
      </c>
      <c r="I216" s="4" t="n">
        <f aca="false">F216*G216</f>
        <v>432000</v>
      </c>
      <c r="J216" s="4" t="n">
        <f aca="false">F216*(G216-H216)</f>
        <v>96000</v>
      </c>
      <c r="K216" s="5" t="n">
        <f aca="false">(G216-H216)/G216</f>
        <v>0.222222222222222</v>
      </c>
    </row>
    <row r="217" customFormat="false" ht="15" hidden="false" customHeight="false" outlineLevel="0" collapsed="false">
      <c r="A217" s="6" t="n">
        <v>231</v>
      </c>
      <c r="B217" s="7" t="n">
        <v>45784</v>
      </c>
      <c r="C217" s="6" t="s">
        <v>14</v>
      </c>
      <c r="D217" s="6" t="s">
        <v>17</v>
      </c>
      <c r="E217" s="6" t="s">
        <v>16</v>
      </c>
      <c r="F217" s="6" t="n">
        <v>19</v>
      </c>
      <c r="G217" s="8" t="n">
        <v>85000</v>
      </c>
      <c r="H217" s="8" t="n">
        <v>75000</v>
      </c>
      <c r="I217" s="8" t="n">
        <f aca="false">F217*G217</f>
        <v>1615000</v>
      </c>
      <c r="J217" s="8" t="n">
        <f aca="false">F217*(G217-H217)</f>
        <v>190000</v>
      </c>
      <c r="K217" s="9" t="n">
        <f aca="false">(G217-H217)/G217</f>
        <v>0.117647058823529</v>
      </c>
    </row>
    <row r="218" customFormat="false" ht="15" hidden="false" customHeight="false" outlineLevel="0" collapsed="false">
      <c r="A218" s="2" t="n">
        <v>202</v>
      </c>
      <c r="B218" s="3" t="n">
        <v>45785</v>
      </c>
      <c r="C218" s="2" t="s">
        <v>11</v>
      </c>
      <c r="D218" s="2" t="s">
        <v>22</v>
      </c>
      <c r="E218" s="2" t="s">
        <v>23</v>
      </c>
      <c r="F218" s="2" t="n">
        <v>4</v>
      </c>
      <c r="G218" s="4" t="n">
        <v>600000</v>
      </c>
      <c r="H218" s="4" t="n">
        <v>520000</v>
      </c>
      <c r="I218" s="4" t="n">
        <f aca="false">F218*G218</f>
        <v>2400000</v>
      </c>
      <c r="J218" s="4" t="n">
        <f aca="false">F218*(G218-H218)</f>
        <v>320000</v>
      </c>
      <c r="K218" s="5" t="n">
        <f aca="false">(G218-H218)/G218</f>
        <v>0.133333333333333</v>
      </c>
    </row>
    <row r="219" customFormat="false" ht="15" hidden="false" customHeight="false" outlineLevel="0" collapsed="false">
      <c r="A219" s="6" t="n">
        <v>247</v>
      </c>
      <c r="B219" s="7" t="n">
        <v>45785</v>
      </c>
      <c r="C219" s="6" t="s">
        <v>11</v>
      </c>
      <c r="D219" s="6" t="s">
        <v>25</v>
      </c>
      <c r="E219" s="6" t="s">
        <v>23</v>
      </c>
      <c r="F219" s="6" t="n">
        <v>5</v>
      </c>
      <c r="G219" s="8" t="n">
        <v>250000</v>
      </c>
      <c r="H219" s="8" t="n">
        <v>200000</v>
      </c>
      <c r="I219" s="8" t="n">
        <f aca="false">F219*G219</f>
        <v>1250000</v>
      </c>
      <c r="J219" s="8" t="n">
        <f aca="false">F219*(G219-H219)</f>
        <v>250000</v>
      </c>
      <c r="K219" s="9" t="n">
        <f aca="false">(G219-H219)/G219</f>
        <v>0.2</v>
      </c>
    </row>
    <row r="220" customFormat="false" ht="15" hidden="false" customHeight="false" outlineLevel="0" collapsed="false">
      <c r="A220" s="2" t="n">
        <v>207</v>
      </c>
      <c r="B220" s="3" t="n">
        <v>45786</v>
      </c>
      <c r="C220" s="2" t="s">
        <v>14</v>
      </c>
      <c r="D220" s="2" t="s">
        <v>12</v>
      </c>
      <c r="E220" s="2" t="s">
        <v>13</v>
      </c>
      <c r="F220" s="2" t="n">
        <v>3</v>
      </c>
      <c r="G220" s="4" t="n">
        <v>35000</v>
      </c>
      <c r="H220" s="4" t="n">
        <v>20000</v>
      </c>
      <c r="I220" s="4" t="n">
        <f aca="false">F220*G220</f>
        <v>105000</v>
      </c>
      <c r="J220" s="4" t="n">
        <f aca="false">F220*(G220-H220)</f>
        <v>45000</v>
      </c>
      <c r="K220" s="5" t="n">
        <f aca="false">(G220-H220)/G220</f>
        <v>0.428571428571429</v>
      </c>
    </row>
    <row r="221" customFormat="false" ht="15" hidden="false" customHeight="false" outlineLevel="0" collapsed="false">
      <c r="A221" s="6" t="n">
        <v>41</v>
      </c>
      <c r="B221" s="7" t="n">
        <v>45786</v>
      </c>
      <c r="C221" s="6" t="s">
        <v>11</v>
      </c>
      <c r="D221" s="6" t="s">
        <v>25</v>
      </c>
      <c r="E221" s="6" t="s">
        <v>23</v>
      </c>
      <c r="F221" s="6" t="n">
        <v>4</v>
      </c>
      <c r="G221" s="8" t="n">
        <v>250000</v>
      </c>
      <c r="H221" s="8" t="n">
        <v>200000</v>
      </c>
      <c r="I221" s="8" t="n">
        <f aca="false">F221*G221</f>
        <v>1000000</v>
      </c>
      <c r="J221" s="8" t="n">
        <f aca="false">F221*(G221-H221)</f>
        <v>200000</v>
      </c>
      <c r="K221" s="9" t="n">
        <f aca="false">(G221-H221)/G221</f>
        <v>0.2</v>
      </c>
    </row>
    <row r="222" customFormat="false" ht="15" hidden="false" customHeight="false" outlineLevel="0" collapsed="false">
      <c r="A222" s="2" t="n">
        <v>238</v>
      </c>
      <c r="B222" s="3" t="n">
        <v>45786</v>
      </c>
      <c r="C222" s="2" t="s">
        <v>14</v>
      </c>
      <c r="D222" s="2" t="s">
        <v>22</v>
      </c>
      <c r="E222" s="2" t="s">
        <v>23</v>
      </c>
      <c r="F222" s="2" t="n">
        <v>4</v>
      </c>
      <c r="G222" s="4" t="n">
        <v>600000</v>
      </c>
      <c r="H222" s="4" t="n">
        <v>520000</v>
      </c>
      <c r="I222" s="4" t="n">
        <f aca="false">F222*G222</f>
        <v>2400000</v>
      </c>
      <c r="J222" s="4" t="n">
        <f aca="false">F222*(G222-H222)</f>
        <v>320000</v>
      </c>
      <c r="K222" s="5" t="n">
        <f aca="false">(G222-H222)/G222</f>
        <v>0.133333333333333</v>
      </c>
    </row>
    <row r="223" customFormat="false" ht="15" hidden="false" customHeight="false" outlineLevel="0" collapsed="false">
      <c r="A223" s="6" t="n">
        <v>121</v>
      </c>
      <c r="B223" s="7" t="n">
        <v>45787</v>
      </c>
      <c r="C223" s="6" t="s">
        <v>14</v>
      </c>
      <c r="D223" s="6" t="s">
        <v>24</v>
      </c>
      <c r="E223" s="6" t="s">
        <v>23</v>
      </c>
      <c r="F223" s="6" t="n">
        <v>3</v>
      </c>
      <c r="G223" s="8" t="n">
        <v>40000</v>
      </c>
      <c r="H223" s="8" t="n">
        <v>25000</v>
      </c>
      <c r="I223" s="8" t="n">
        <f aca="false">F223*G223</f>
        <v>120000</v>
      </c>
      <c r="J223" s="8" t="n">
        <f aca="false">F223*(G223-H223)</f>
        <v>45000</v>
      </c>
      <c r="K223" s="9" t="n">
        <f aca="false">(G223-H223)/G223</f>
        <v>0.375</v>
      </c>
    </row>
    <row r="224" customFormat="false" ht="15" hidden="false" customHeight="false" outlineLevel="0" collapsed="false">
      <c r="A224" s="2" t="n">
        <v>168</v>
      </c>
      <c r="B224" s="3" t="n">
        <v>45787</v>
      </c>
      <c r="C224" s="2" t="s">
        <v>14</v>
      </c>
      <c r="D224" s="2" t="s">
        <v>12</v>
      </c>
      <c r="E224" s="2" t="s">
        <v>13</v>
      </c>
      <c r="F224" s="2" t="n">
        <v>2</v>
      </c>
      <c r="G224" s="4" t="n">
        <v>35000</v>
      </c>
      <c r="H224" s="4" t="n">
        <v>20000</v>
      </c>
      <c r="I224" s="4" t="n">
        <f aca="false">F224*G224</f>
        <v>70000</v>
      </c>
      <c r="J224" s="4" t="n">
        <f aca="false">F224*(G224-H224)</f>
        <v>30000</v>
      </c>
      <c r="K224" s="5" t="n">
        <f aca="false">(G224-H224)/G224</f>
        <v>0.428571428571429</v>
      </c>
    </row>
    <row r="225" customFormat="false" ht="15" hidden="false" customHeight="false" outlineLevel="0" collapsed="false">
      <c r="A225" s="6" t="n">
        <v>43</v>
      </c>
      <c r="B225" s="7" t="n">
        <v>45788</v>
      </c>
      <c r="C225" s="6" t="s">
        <v>14</v>
      </c>
      <c r="D225" s="6" t="s">
        <v>19</v>
      </c>
      <c r="E225" s="6" t="s">
        <v>13</v>
      </c>
      <c r="F225" s="6" t="n">
        <v>3</v>
      </c>
      <c r="G225" s="8" t="n">
        <v>15000</v>
      </c>
      <c r="H225" s="8" t="n">
        <v>7000</v>
      </c>
      <c r="I225" s="8" t="n">
        <f aca="false">F225*G225</f>
        <v>45000</v>
      </c>
      <c r="J225" s="8" t="n">
        <f aca="false">F225*(G225-H225)</f>
        <v>24000</v>
      </c>
      <c r="K225" s="9" t="n">
        <f aca="false">(G225-H225)/G225</f>
        <v>0.533333333333333</v>
      </c>
    </row>
    <row r="226" customFormat="false" ht="15" hidden="false" customHeight="false" outlineLevel="0" collapsed="false">
      <c r="A226" s="2" t="n">
        <v>20</v>
      </c>
      <c r="B226" s="3" t="n">
        <v>45788</v>
      </c>
      <c r="C226" s="2" t="s">
        <v>14</v>
      </c>
      <c r="D226" s="2" t="s">
        <v>19</v>
      </c>
      <c r="E226" s="2" t="s">
        <v>13</v>
      </c>
      <c r="F226" s="2" t="n">
        <v>3</v>
      </c>
      <c r="G226" s="4" t="n">
        <v>15000</v>
      </c>
      <c r="H226" s="4" t="n">
        <v>7000</v>
      </c>
      <c r="I226" s="4" t="n">
        <f aca="false">F226*G226</f>
        <v>45000</v>
      </c>
      <c r="J226" s="4" t="n">
        <f aca="false">F226*(G226-H226)</f>
        <v>24000</v>
      </c>
      <c r="K226" s="5" t="n">
        <f aca="false">(G226-H226)/G226</f>
        <v>0.533333333333333</v>
      </c>
    </row>
    <row r="227" customFormat="false" ht="15" hidden="false" customHeight="false" outlineLevel="0" collapsed="false">
      <c r="A227" s="6" t="n">
        <v>188</v>
      </c>
      <c r="B227" s="7" t="n">
        <v>45789</v>
      </c>
      <c r="C227" s="6" t="s">
        <v>18</v>
      </c>
      <c r="D227" s="6" t="s">
        <v>15</v>
      </c>
      <c r="E227" s="6" t="s">
        <v>16</v>
      </c>
      <c r="F227" s="6" t="n">
        <v>17</v>
      </c>
      <c r="G227" s="8" t="n">
        <v>1500</v>
      </c>
      <c r="H227" s="8" t="n">
        <v>900</v>
      </c>
      <c r="I227" s="8" t="n">
        <f aca="false">F227*G227</f>
        <v>25500</v>
      </c>
      <c r="J227" s="8" t="n">
        <f aca="false">F227*(G227-H227)</f>
        <v>10200</v>
      </c>
      <c r="K227" s="9" t="n">
        <f aca="false">(G227-H227)/G227</f>
        <v>0.4</v>
      </c>
    </row>
    <row r="228" customFormat="false" ht="15" hidden="false" customHeight="false" outlineLevel="0" collapsed="false">
      <c r="A228" s="2" t="n">
        <v>210</v>
      </c>
      <c r="B228" s="3" t="n">
        <v>45789</v>
      </c>
      <c r="C228" s="2" t="s">
        <v>11</v>
      </c>
      <c r="D228" s="2" t="s">
        <v>12</v>
      </c>
      <c r="E228" s="2" t="s">
        <v>13</v>
      </c>
      <c r="F228" s="2" t="n">
        <v>3</v>
      </c>
      <c r="G228" s="4" t="n">
        <v>35000</v>
      </c>
      <c r="H228" s="4" t="n">
        <v>20000</v>
      </c>
      <c r="I228" s="4" t="n">
        <f aca="false">F228*G228</f>
        <v>105000</v>
      </c>
      <c r="J228" s="4" t="n">
        <f aca="false">F228*(G228-H228)</f>
        <v>45000</v>
      </c>
      <c r="K228" s="5" t="n">
        <f aca="false">(G228-H228)/G228</f>
        <v>0.428571428571429</v>
      </c>
    </row>
    <row r="229" customFormat="false" ht="15" hidden="false" customHeight="false" outlineLevel="0" collapsed="false">
      <c r="A229" s="6" t="n">
        <v>176</v>
      </c>
      <c r="B229" s="7" t="n">
        <v>45789</v>
      </c>
      <c r="C229" s="6" t="s">
        <v>14</v>
      </c>
      <c r="D229" s="6" t="s">
        <v>25</v>
      </c>
      <c r="E229" s="6" t="s">
        <v>23</v>
      </c>
      <c r="F229" s="6" t="n">
        <v>3</v>
      </c>
      <c r="G229" s="8" t="n">
        <v>250000</v>
      </c>
      <c r="H229" s="8" t="n">
        <v>200000</v>
      </c>
      <c r="I229" s="8" t="n">
        <f aca="false">F229*G229</f>
        <v>750000</v>
      </c>
      <c r="J229" s="8" t="n">
        <f aca="false">F229*(G229-H229)</f>
        <v>150000</v>
      </c>
      <c r="K229" s="9" t="n">
        <f aca="false">(G229-H229)/G229</f>
        <v>0.2</v>
      </c>
    </row>
    <row r="230" customFormat="false" ht="15" hidden="false" customHeight="false" outlineLevel="0" collapsed="false">
      <c r="A230" s="2" t="n">
        <v>287</v>
      </c>
      <c r="B230" s="3" t="n">
        <v>45789</v>
      </c>
      <c r="C230" s="2" t="s">
        <v>11</v>
      </c>
      <c r="D230" s="2" t="s">
        <v>15</v>
      </c>
      <c r="E230" s="2" t="s">
        <v>16</v>
      </c>
      <c r="F230" s="2" t="n">
        <v>10</v>
      </c>
      <c r="G230" s="4" t="n">
        <v>1500</v>
      </c>
      <c r="H230" s="4" t="n">
        <v>900</v>
      </c>
      <c r="I230" s="4" t="n">
        <f aca="false">F230*G230</f>
        <v>15000</v>
      </c>
      <c r="J230" s="4" t="n">
        <f aca="false">F230*(G230-H230)</f>
        <v>6000</v>
      </c>
      <c r="K230" s="5" t="n">
        <f aca="false">(G230-H230)/G230</f>
        <v>0.4</v>
      </c>
    </row>
    <row r="231" customFormat="false" ht="15" hidden="false" customHeight="false" outlineLevel="0" collapsed="false">
      <c r="A231" s="6" t="n">
        <v>113</v>
      </c>
      <c r="B231" s="7" t="n">
        <v>45790</v>
      </c>
      <c r="C231" s="6" t="s">
        <v>14</v>
      </c>
      <c r="D231" s="6" t="s">
        <v>19</v>
      </c>
      <c r="E231" s="6" t="s">
        <v>13</v>
      </c>
      <c r="F231" s="6" t="n">
        <v>2</v>
      </c>
      <c r="G231" s="8" t="n">
        <v>15000</v>
      </c>
      <c r="H231" s="8" t="n">
        <v>7000</v>
      </c>
      <c r="I231" s="8" t="n">
        <f aca="false">F231*G231</f>
        <v>30000</v>
      </c>
      <c r="J231" s="8" t="n">
        <f aca="false">F231*(G231-H231)</f>
        <v>16000</v>
      </c>
      <c r="K231" s="9" t="n">
        <f aca="false">(G231-H231)/G231</f>
        <v>0.533333333333333</v>
      </c>
    </row>
    <row r="232" customFormat="false" ht="15" hidden="false" customHeight="false" outlineLevel="0" collapsed="false">
      <c r="A232" s="2" t="n">
        <v>102</v>
      </c>
      <c r="B232" s="3" t="n">
        <v>45790</v>
      </c>
      <c r="C232" s="2" t="s">
        <v>18</v>
      </c>
      <c r="D232" s="2" t="s">
        <v>24</v>
      </c>
      <c r="E232" s="2" t="s">
        <v>23</v>
      </c>
      <c r="F232" s="2" t="n">
        <v>5</v>
      </c>
      <c r="G232" s="4" t="n">
        <v>40000</v>
      </c>
      <c r="H232" s="4" t="n">
        <v>25000</v>
      </c>
      <c r="I232" s="4" t="n">
        <f aca="false">F232*G232</f>
        <v>200000</v>
      </c>
      <c r="J232" s="4" t="n">
        <f aca="false">F232*(G232-H232)</f>
        <v>75000</v>
      </c>
      <c r="K232" s="5" t="n">
        <f aca="false">(G232-H232)/G232</f>
        <v>0.375</v>
      </c>
    </row>
    <row r="233" customFormat="false" ht="15" hidden="false" customHeight="false" outlineLevel="0" collapsed="false">
      <c r="A233" s="6" t="n">
        <v>72</v>
      </c>
      <c r="B233" s="7" t="n">
        <v>45791</v>
      </c>
      <c r="C233" s="6" t="s">
        <v>11</v>
      </c>
      <c r="D233" s="6" t="s">
        <v>17</v>
      </c>
      <c r="E233" s="6" t="s">
        <v>16</v>
      </c>
      <c r="F233" s="6" t="n">
        <v>35</v>
      </c>
      <c r="G233" s="8" t="n">
        <v>85000</v>
      </c>
      <c r="H233" s="8" t="n">
        <v>75000</v>
      </c>
      <c r="I233" s="8" t="n">
        <f aca="false">F233*G233</f>
        <v>2975000</v>
      </c>
      <c r="J233" s="8" t="n">
        <f aca="false">F233*(G233-H233)</f>
        <v>350000</v>
      </c>
      <c r="K233" s="9" t="n">
        <f aca="false">(G233-H233)/G233</f>
        <v>0.117647058823529</v>
      </c>
    </row>
    <row r="234" customFormat="false" ht="15" hidden="false" customHeight="false" outlineLevel="0" collapsed="false">
      <c r="A234" s="2" t="n">
        <v>139</v>
      </c>
      <c r="B234" s="3" t="n">
        <v>45792</v>
      </c>
      <c r="C234" s="2" t="s">
        <v>11</v>
      </c>
      <c r="D234" s="2" t="s">
        <v>19</v>
      </c>
      <c r="E234" s="2" t="s">
        <v>13</v>
      </c>
      <c r="F234" s="2" t="n">
        <v>2</v>
      </c>
      <c r="G234" s="4" t="n">
        <v>15000</v>
      </c>
      <c r="H234" s="4" t="n">
        <v>7000</v>
      </c>
      <c r="I234" s="4" t="n">
        <f aca="false">F234*G234</f>
        <v>30000</v>
      </c>
      <c r="J234" s="4" t="n">
        <f aca="false">F234*(G234-H234)</f>
        <v>16000</v>
      </c>
      <c r="K234" s="5" t="n">
        <f aca="false">(G234-H234)/G234</f>
        <v>0.533333333333333</v>
      </c>
    </row>
    <row r="235" customFormat="false" ht="15" hidden="false" customHeight="false" outlineLevel="0" collapsed="false">
      <c r="A235" s="6" t="n">
        <v>165</v>
      </c>
      <c r="B235" s="7" t="n">
        <v>45793</v>
      </c>
      <c r="C235" s="6" t="s">
        <v>18</v>
      </c>
      <c r="D235" s="6" t="s">
        <v>24</v>
      </c>
      <c r="E235" s="6" t="s">
        <v>23</v>
      </c>
      <c r="F235" s="6" t="n">
        <v>3</v>
      </c>
      <c r="G235" s="8" t="n">
        <v>40000</v>
      </c>
      <c r="H235" s="8" t="n">
        <v>25000</v>
      </c>
      <c r="I235" s="8" t="n">
        <f aca="false">F235*G235</f>
        <v>120000</v>
      </c>
      <c r="J235" s="8" t="n">
        <f aca="false">F235*(G235-H235)</f>
        <v>45000</v>
      </c>
      <c r="K235" s="9" t="n">
        <f aca="false">(G235-H235)/G235</f>
        <v>0.375</v>
      </c>
    </row>
    <row r="236" customFormat="false" ht="15" hidden="false" customHeight="false" outlineLevel="0" collapsed="false">
      <c r="A236" s="2" t="n">
        <v>63</v>
      </c>
      <c r="B236" s="3" t="n">
        <v>45794</v>
      </c>
      <c r="C236" s="2" t="s">
        <v>18</v>
      </c>
      <c r="D236" s="2" t="s">
        <v>25</v>
      </c>
      <c r="E236" s="2" t="s">
        <v>23</v>
      </c>
      <c r="F236" s="2" t="n">
        <v>4</v>
      </c>
      <c r="G236" s="4" t="n">
        <v>250000</v>
      </c>
      <c r="H236" s="4" t="n">
        <v>200000</v>
      </c>
      <c r="I236" s="4" t="n">
        <f aca="false">F236*G236</f>
        <v>1000000</v>
      </c>
      <c r="J236" s="4" t="n">
        <f aca="false">F236*(G236-H236)</f>
        <v>200000</v>
      </c>
      <c r="K236" s="5" t="n">
        <f aca="false">(G236-H236)/G236</f>
        <v>0.2</v>
      </c>
    </row>
    <row r="237" customFormat="false" ht="15" hidden="false" customHeight="false" outlineLevel="0" collapsed="false">
      <c r="A237" s="6" t="n">
        <v>67</v>
      </c>
      <c r="B237" s="7" t="n">
        <v>45797</v>
      </c>
      <c r="C237" s="6" t="s">
        <v>11</v>
      </c>
      <c r="D237" s="6" t="s">
        <v>20</v>
      </c>
      <c r="E237" s="6" t="s">
        <v>16</v>
      </c>
      <c r="F237" s="6" t="n">
        <v>21</v>
      </c>
      <c r="G237" s="8" t="n">
        <v>18000</v>
      </c>
      <c r="H237" s="8" t="n">
        <v>14000</v>
      </c>
      <c r="I237" s="8" t="n">
        <f aca="false">F237*G237</f>
        <v>378000</v>
      </c>
      <c r="J237" s="8" t="n">
        <f aca="false">F237*(G237-H237)</f>
        <v>84000</v>
      </c>
      <c r="K237" s="9" t="n">
        <f aca="false">(G237-H237)/G237</f>
        <v>0.222222222222222</v>
      </c>
    </row>
    <row r="238" customFormat="false" ht="15" hidden="false" customHeight="false" outlineLevel="0" collapsed="false">
      <c r="A238" s="2" t="n">
        <v>97</v>
      </c>
      <c r="B238" s="3" t="n">
        <v>45797</v>
      </c>
      <c r="C238" s="2" t="s">
        <v>18</v>
      </c>
      <c r="D238" s="2" t="s">
        <v>19</v>
      </c>
      <c r="E238" s="2" t="s">
        <v>13</v>
      </c>
      <c r="F238" s="2" t="n">
        <v>3</v>
      </c>
      <c r="G238" s="4" t="n">
        <v>15000</v>
      </c>
      <c r="H238" s="4" t="n">
        <v>7000</v>
      </c>
      <c r="I238" s="4" t="n">
        <f aca="false">F238*G238</f>
        <v>45000</v>
      </c>
      <c r="J238" s="4" t="n">
        <f aca="false">F238*(G238-H238)</f>
        <v>24000</v>
      </c>
      <c r="K238" s="5" t="n">
        <f aca="false">(G238-H238)/G238</f>
        <v>0.533333333333333</v>
      </c>
    </row>
    <row r="239" customFormat="false" ht="15" hidden="false" customHeight="false" outlineLevel="0" collapsed="false">
      <c r="A239" s="6" t="n">
        <v>101</v>
      </c>
      <c r="B239" s="7" t="n">
        <v>45798</v>
      </c>
      <c r="C239" s="6" t="s">
        <v>11</v>
      </c>
      <c r="D239" s="6" t="s">
        <v>15</v>
      </c>
      <c r="E239" s="6" t="s">
        <v>16</v>
      </c>
      <c r="F239" s="6" t="n">
        <v>8</v>
      </c>
      <c r="G239" s="8" t="n">
        <v>1500</v>
      </c>
      <c r="H239" s="8" t="n">
        <v>900</v>
      </c>
      <c r="I239" s="8" t="n">
        <f aca="false">F239*G239</f>
        <v>12000</v>
      </c>
      <c r="J239" s="8" t="n">
        <f aca="false">F239*(G239-H239)</f>
        <v>4800</v>
      </c>
      <c r="K239" s="9" t="n">
        <f aca="false">(G239-H239)/G239</f>
        <v>0.4</v>
      </c>
    </row>
    <row r="240" customFormat="false" ht="15" hidden="false" customHeight="false" outlineLevel="0" collapsed="false">
      <c r="A240" s="2" t="n">
        <v>227</v>
      </c>
      <c r="B240" s="3" t="n">
        <v>45799</v>
      </c>
      <c r="C240" s="2" t="s">
        <v>14</v>
      </c>
      <c r="D240" s="2" t="s">
        <v>25</v>
      </c>
      <c r="E240" s="2" t="s">
        <v>23</v>
      </c>
      <c r="F240" s="2" t="n">
        <v>3</v>
      </c>
      <c r="G240" s="4" t="n">
        <v>250000</v>
      </c>
      <c r="H240" s="4" t="n">
        <v>200000</v>
      </c>
      <c r="I240" s="4" t="n">
        <f aca="false">F240*G240</f>
        <v>750000</v>
      </c>
      <c r="J240" s="4" t="n">
        <f aca="false">F240*(G240-H240)</f>
        <v>150000</v>
      </c>
      <c r="K240" s="5" t="n">
        <f aca="false">(G240-H240)/G240</f>
        <v>0.2</v>
      </c>
    </row>
    <row r="241" customFormat="false" ht="15" hidden="false" customHeight="false" outlineLevel="0" collapsed="false">
      <c r="A241" s="6" t="n">
        <v>156</v>
      </c>
      <c r="B241" s="7" t="n">
        <v>45799</v>
      </c>
      <c r="C241" s="6" t="s">
        <v>14</v>
      </c>
      <c r="D241" s="6" t="s">
        <v>22</v>
      </c>
      <c r="E241" s="6" t="s">
        <v>23</v>
      </c>
      <c r="F241" s="6" t="n">
        <v>4</v>
      </c>
      <c r="G241" s="8" t="n">
        <v>600000</v>
      </c>
      <c r="H241" s="8" t="n">
        <v>520000</v>
      </c>
      <c r="I241" s="8" t="n">
        <f aca="false">F241*G241</f>
        <v>2400000</v>
      </c>
      <c r="J241" s="8" t="n">
        <f aca="false">F241*(G241-H241)</f>
        <v>320000</v>
      </c>
      <c r="K241" s="9" t="n">
        <f aca="false">(G241-H241)/G241</f>
        <v>0.133333333333333</v>
      </c>
    </row>
    <row r="242" customFormat="false" ht="15" hidden="false" customHeight="false" outlineLevel="0" collapsed="false">
      <c r="A242" s="2" t="n">
        <v>245</v>
      </c>
      <c r="B242" s="3" t="n">
        <v>45800</v>
      </c>
      <c r="C242" s="2" t="s">
        <v>11</v>
      </c>
      <c r="D242" s="2" t="s">
        <v>19</v>
      </c>
      <c r="E242" s="2" t="s">
        <v>13</v>
      </c>
      <c r="F242" s="2" t="n">
        <v>2</v>
      </c>
      <c r="G242" s="4" t="n">
        <v>15000</v>
      </c>
      <c r="H242" s="4" t="n">
        <v>7000</v>
      </c>
      <c r="I242" s="4" t="n">
        <f aca="false">F242*G242</f>
        <v>30000</v>
      </c>
      <c r="J242" s="4" t="n">
        <f aca="false">F242*(G242-H242)</f>
        <v>16000</v>
      </c>
      <c r="K242" s="5" t="n">
        <f aca="false">(G242-H242)/G242</f>
        <v>0.533333333333333</v>
      </c>
    </row>
    <row r="243" customFormat="false" ht="15" hidden="false" customHeight="false" outlineLevel="0" collapsed="false">
      <c r="A243" s="6" t="n">
        <v>179</v>
      </c>
      <c r="B243" s="7" t="n">
        <v>45802</v>
      </c>
      <c r="C243" s="6" t="s">
        <v>14</v>
      </c>
      <c r="D243" s="6" t="s">
        <v>20</v>
      </c>
      <c r="E243" s="6" t="s">
        <v>16</v>
      </c>
      <c r="F243" s="6" t="n">
        <v>10</v>
      </c>
      <c r="G243" s="8" t="n">
        <v>18000</v>
      </c>
      <c r="H243" s="8" t="n">
        <v>14000</v>
      </c>
      <c r="I243" s="8" t="n">
        <f aca="false">F243*G243</f>
        <v>180000</v>
      </c>
      <c r="J243" s="8" t="n">
        <f aca="false">F243*(G243-H243)</f>
        <v>40000</v>
      </c>
      <c r="K243" s="9" t="n">
        <f aca="false">(G243-H243)/G243</f>
        <v>0.222222222222222</v>
      </c>
    </row>
    <row r="244" customFormat="false" ht="15" hidden="false" customHeight="false" outlineLevel="0" collapsed="false">
      <c r="A244" s="2" t="n">
        <v>181</v>
      </c>
      <c r="B244" s="3" t="n">
        <v>45803</v>
      </c>
      <c r="C244" s="2" t="s">
        <v>18</v>
      </c>
      <c r="D244" s="2" t="s">
        <v>21</v>
      </c>
      <c r="E244" s="2" t="s">
        <v>13</v>
      </c>
      <c r="F244" s="2" t="n">
        <v>1</v>
      </c>
      <c r="G244" s="4" t="n">
        <v>60000</v>
      </c>
      <c r="H244" s="4" t="n">
        <v>45000</v>
      </c>
      <c r="I244" s="4" t="n">
        <f aca="false">F244*G244</f>
        <v>60000</v>
      </c>
      <c r="J244" s="4" t="n">
        <f aca="false">F244*(G244-H244)</f>
        <v>15000</v>
      </c>
      <c r="K244" s="5" t="n">
        <f aca="false">(G244-H244)/G244</f>
        <v>0.25</v>
      </c>
    </row>
    <row r="245" customFormat="false" ht="15" hidden="false" customHeight="false" outlineLevel="0" collapsed="false">
      <c r="A245" s="6" t="n">
        <v>195</v>
      </c>
      <c r="B245" s="7" t="n">
        <v>45804</v>
      </c>
      <c r="C245" s="6" t="s">
        <v>18</v>
      </c>
      <c r="D245" s="6" t="s">
        <v>15</v>
      </c>
      <c r="E245" s="6" t="s">
        <v>16</v>
      </c>
      <c r="F245" s="6" t="n">
        <v>35</v>
      </c>
      <c r="G245" s="8" t="n">
        <v>1500</v>
      </c>
      <c r="H245" s="8" t="n">
        <v>900</v>
      </c>
      <c r="I245" s="8" t="n">
        <f aca="false">F245*G245</f>
        <v>52500</v>
      </c>
      <c r="J245" s="8" t="n">
        <f aca="false">F245*(G245-H245)</f>
        <v>21000</v>
      </c>
      <c r="K245" s="9" t="n">
        <f aca="false">(G245-H245)/G245</f>
        <v>0.4</v>
      </c>
    </row>
    <row r="246" customFormat="false" ht="15" hidden="false" customHeight="false" outlineLevel="0" collapsed="false">
      <c r="A246" s="2" t="n">
        <v>75</v>
      </c>
      <c r="B246" s="3" t="n">
        <v>45806</v>
      </c>
      <c r="C246" s="2" t="s">
        <v>11</v>
      </c>
      <c r="D246" s="2" t="s">
        <v>15</v>
      </c>
      <c r="E246" s="2" t="s">
        <v>16</v>
      </c>
      <c r="F246" s="2" t="n">
        <v>9</v>
      </c>
      <c r="G246" s="4" t="n">
        <v>1500</v>
      </c>
      <c r="H246" s="4" t="n">
        <v>900</v>
      </c>
      <c r="I246" s="4" t="n">
        <f aca="false">F246*G246</f>
        <v>13500</v>
      </c>
      <c r="J246" s="4" t="n">
        <f aca="false">F246*(G246-H246)</f>
        <v>5400</v>
      </c>
      <c r="K246" s="5" t="n">
        <f aca="false">(G246-H246)/G246</f>
        <v>0.4</v>
      </c>
    </row>
    <row r="247" customFormat="false" ht="15" hidden="false" customHeight="false" outlineLevel="0" collapsed="false">
      <c r="A247" s="6" t="n">
        <v>83</v>
      </c>
      <c r="B247" s="7" t="n">
        <v>45809</v>
      </c>
      <c r="C247" s="6" t="s">
        <v>11</v>
      </c>
      <c r="D247" s="6" t="s">
        <v>20</v>
      </c>
      <c r="E247" s="6" t="s">
        <v>16</v>
      </c>
      <c r="F247" s="6" t="n">
        <v>36</v>
      </c>
      <c r="G247" s="8" t="n">
        <v>18000</v>
      </c>
      <c r="H247" s="8" t="n">
        <v>14000</v>
      </c>
      <c r="I247" s="8" t="n">
        <f aca="false">F247*G247</f>
        <v>648000</v>
      </c>
      <c r="J247" s="8" t="n">
        <f aca="false">F247*(G247-H247)</f>
        <v>144000</v>
      </c>
      <c r="K247" s="9" t="n">
        <f aca="false">(G247-H247)/G247</f>
        <v>0.222222222222222</v>
      </c>
    </row>
    <row r="248" customFormat="false" ht="15" hidden="false" customHeight="false" outlineLevel="0" collapsed="false">
      <c r="A248" s="2" t="n">
        <v>154</v>
      </c>
      <c r="B248" s="3" t="n">
        <v>45809</v>
      </c>
      <c r="C248" s="2" t="s">
        <v>18</v>
      </c>
      <c r="D248" s="2" t="s">
        <v>15</v>
      </c>
      <c r="E248" s="2" t="s">
        <v>16</v>
      </c>
      <c r="F248" s="2" t="n">
        <v>46</v>
      </c>
      <c r="G248" s="4" t="n">
        <v>1500</v>
      </c>
      <c r="H248" s="4" t="n">
        <v>900</v>
      </c>
      <c r="I248" s="4" t="n">
        <f aca="false">F248*G248</f>
        <v>69000</v>
      </c>
      <c r="J248" s="4" t="n">
        <f aca="false">F248*(G248-H248)</f>
        <v>27600</v>
      </c>
      <c r="K248" s="5" t="n">
        <f aca="false">(G248-H248)/G248</f>
        <v>0.4</v>
      </c>
    </row>
    <row r="249" customFormat="false" ht="15" hidden="false" customHeight="false" outlineLevel="0" collapsed="false">
      <c r="A249" s="6" t="n">
        <v>203</v>
      </c>
      <c r="B249" s="7" t="n">
        <v>45810</v>
      </c>
      <c r="C249" s="6" t="s">
        <v>11</v>
      </c>
      <c r="D249" s="6" t="s">
        <v>22</v>
      </c>
      <c r="E249" s="6" t="s">
        <v>23</v>
      </c>
      <c r="F249" s="6" t="n">
        <v>4</v>
      </c>
      <c r="G249" s="8" t="n">
        <v>600000</v>
      </c>
      <c r="H249" s="8" t="n">
        <v>520000</v>
      </c>
      <c r="I249" s="8" t="n">
        <f aca="false">F249*G249</f>
        <v>2400000</v>
      </c>
      <c r="J249" s="8" t="n">
        <f aca="false">F249*(G249-H249)</f>
        <v>320000</v>
      </c>
      <c r="K249" s="9" t="n">
        <f aca="false">(G249-H249)/G249</f>
        <v>0.133333333333333</v>
      </c>
    </row>
    <row r="250" customFormat="false" ht="15" hidden="false" customHeight="false" outlineLevel="0" collapsed="false">
      <c r="A250" s="2" t="n">
        <v>286</v>
      </c>
      <c r="B250" s="3" t="n">
        <v>45812</v>
      </c>
      <c r="C250" s="2" t="s">
        <v>18</v>
      </c>
      <c r="D250" s="2" t="s">
        <v>19</v>
      </c>
      <c r="E250" s="2" t="s">
        <v>13</v>
      </c>
      <c r="F250" s="2" t="n">
        <v>1</v>
      </c>
      <c r="G250" s="4" t="n">
        <v>15000</v>
      </c>
      <c r="H250" s="4" t="n">
        <v>7000</v>
      </c>
      <c r="I250" s="4" t="n">
        <f aca="false">F250*G250</f>
        <v>15000</v>
      </c>
      <c r="J250" s="4" t="n">
        <f aca="false">F250*(G250-H250)</f>
        <v>8000</v>
      </c>
      <c r="K250" s="5" t="n">
        <f aca="false">(G250-H250)/G250</f>
        <v>0.533333333333333</v>
      </c>
    </row>
    <row r="251" customFormat="false" ht="15" hidden="false" customHeight="false" outlineLevel="0" collapsed="false">
      <c r="A251" s="6" t="n">
        <v>253</v>
      </c>
      <c r="B251" s="7" t="n">
        <v>45812</v>
      </c>
      <c r="C251" s="6" t="s">
        <v>14</v>
      </c>
      <c r="D251" s="6" t="s">
        <v>21</v>
      </c>
      <c r="E251" s="6" t="s">
        <v>13</v>
      </c>
      <c r="F251" s="6" t="n">
        <v>3</v>
      </c>
      <c r="G251" s="8" t="n">
        <v>60000</v>
      </c>
      <c r="H251" s="8" t="n">
        <v>45000</v>
      </c>
      <c r="I251" s="8" t="n">
        <f aca="false">F251*G251</f>
        <v>180000</v>
      </c>
      <c r="J251" s="8" t="n">
        <f aca="false">F251*(G251-H251)</f>
        <v>45000</v>
      </c>
      <c r="K251" s="9" t="n">
        <f aca="false">(G251-H251)/G251</f>
        <v>0.25</v>
      </c>
    </row>
    <row r="252" customFormat="false" ht="15" hidden="false" customHeight="false" outlineLevel="0" collapsed="false">
      <c r="A252" s="2" t="n">
        <v>161</v>
      </c>
      <c r="B252" s="3" t="n">
        <v>45812</v>
      </c>
      <c r="C252" s="2" t="s">
        <v>11</v>
      </c>
      <c r="D252" s="2" t="s">
        <v>22</v>
      </c>
      <c r="E252" s="2" t="s">
        <v>23</v>
      </c>
      <c r="F252" s="2" t="n">
        <v>1</v>
      </c>
      <c r="G252" s="4" t="n">
        <v>600000</v>
      </c>
      <c r="H252" s="4" t="n">
        <v>520000</v>
      </c>
      <c r="I252" s="4" t="n">
        <f aca="false">F252*G252</f>
        <v>600000</v>
      </c>
      <c r="J252" s="4" t="n">
        <f aca="false">F252*(G252-H252)</f>
        <v>80000</v>
      </c>
      <c r="K252" s="5" t="n">
        <f aca="false">(G252-H252)/G252</f>
        <v>0.133333333333333</v>
      </c>
    </row>
    <row r="253" customFormat="false" ht="15" hidden="false" customHeight="false" outlineLevel="0" collapsed="false">
      <c r="A253" s="6" t="n">
        <v>260</v>
      </c>
      <c r="B253" s="7" t="n">
        <v>45813</v>
      </c>
      <c r="C253" s="6" t="s">
        <v>14</v>
      </c>
      <c r="D253" s="6" t="s">
        <v>15</v>
      </c>
      <c r="E253" s="6" t="s">
        <v>16</v>
      </c>
      <c r="F253" s="6" t="n">
        <v>15</v>
      </c>
      <c r="G253" s="8" t="n">
        <v>1500</v>
      </c>
      <c r="H253" s="8" t="n">
        <v>900</v>
      </c>
      <c r="I253" s="8" t="n">
        <f aca="false">F253*G253</f>
        <v>22500</v>
      </c>
      <c r="J253" s="8" t="n">
        <f aca="false">F253*(G253-H253)</f>
        <v>9000</v>
      </c>
      <c r="K253" s="9" t="n">
        <f aca="false">(G253-H253)/G253</f>
        <v>0.4</v>
      </c>
    </row>
    <row r="254" customFormat="false" ht="15" hidden="false" customHeight="false" outlineLevel="0" collapsed="false">
      <c r="A254" s="2" t="n">
        <v>76</v>
      </c>
      <c r="B254" s="3" t="n">
        <v>45814</v>
      </c>
      <c r="C254" s="2" t="s">
        <v>14</v>
      </c>
      <c r="D254" s="2" t="s">
        <v>24</v>
      </c>
      <c r="E254" s="2" t="s">
        <v>23</v>
      </c>
      <c r="F254" s="2" t="n">
        <v>3</v>
      </c>
      <c r="G254" s="4" t="n">
        <v>40000</v>
      </c>
      <c r="H254" s="4" t="n">
        <v>25000</v>
      </c>
      <c r="I254" s="4" t="n">
        <f aca="false">F254*G254</f>
        <v>120000</v>
      </c>
      <c r="J254" s="4" t="n">
        <f aca="false">F254*(G254-H254)</f>
        <v>45000</v>
      </c>
      <c r="K254" s="5" t="n">
        <f aca="false">(G254-H254)/G254</f>
        <v>0.375</v>
      </c>
    </row>
    <row r="255" customFormat="false" ht="15" hidden="false" customHeight="false" outlineLevel="0" collapsed="false">
      <c r="A255" s="6" t="n">
        <v>141</v>
      </c>
      <c r="B255" s="7" t="n">
        <v>45814</v>
      </c>
      <c r="C255" s="6" t="s">
        <v>11</v>
      </c>
      <c r="D255" s="6" t="s">
        <v>20</v>
      </c>
      <c r="E255" s="6" t="s">
        <v>16</v>
      </c>
      <c r="F255" s="6" t="n">
        <v>33</v>
      </c>
      <c r="G255" s="8" t="n">
        <v>18000</v>
      </c>
      <c r="H255" s="8" t="n">
        <v>14000</v>
      </c>
      <c r="I255" s="8" t="n">
        <f aca="false">F255*G255</f>
        <v>594000</v>
      </c>
      <c r="J255" s="8" t="n">
        <f aca="false">F255*(G255-H255)</f>
        <v>132000</v>
      </c>
      <c r="K255" s="9" t="n">
        <f aca="false">(G255-H255)/G255</f>
        <v>0.222222222222222</v>
      </c>
    </row>
    <row r="256" customFormat="false" ht="15" hidden="false" customHeight="false" outlineLevel="0" collapsed="false">
      <c r="A256" s="2" t="n">
        <v>51</v>
      </c>
      <c r="B256" s="3" t="n">
        <v>45815</v>
      </c>
      <c r="C256" s="2" t="s">
        <v>11</v>
      </c>
      <c r="D256" s="2" t="s">
        <v>19</v>
      </c>
      <c r="E256" s="2" t="s">
        <v>13</v>
      </c>
      <c r="F256" s="2" t="n">
        <v>3</v>
      </c>
      <c r="G256" s="4" t="n">
        <v>15000</v>
      </c>
      <c r="H256" s="4" t="n">
        <v>7000</v>
      </c>
      <c r="I256" s="4" t="n">
        <f aca="false">F256*G256</f>
        <v>45000</v>
      </c>
      <c r="J256" s="4" t="n">
        <f aca="false">F256*(G256-H256)</f>
        <v>24000</v>
      </c>
      <c r="K256" s="5" t="n">
        <f aca="false">(G256-H256)/G256</f>
        <v>0.533333333333333</v>
      </c>
    </row>
    <row r="257" customFormat="false" ht="15" hidden="false" customHeight="false" outlineLevel="0" collapsed="false">
      <c r="A257" s="6" t="n">
        <v>93</v>
      </c>
      <c r="B257" s="7" t="n">
        <v>45815</v>
      </c>
      <c r="C257" s="6" t="s">
        <v>14</v>
      </c>
      <c r="D257" s="6" t="s">
        <v>21</v>
      </c>
      <c r="E257" s="6" t="s">
        <v>13</v>
      </c>
      <c r="F257" s="6" t="n">
        <v>2</v>
      </c>
      <c r="G257" s="8" t="n">
        <v>60000</v>
      </c>
      <c r="H257" s="8" t="n">
        <v>45000</v>
      </c>
      <c r="I257" s="8" t="n">
        <f aca="false">F257*G257</f>
        <v>120000</v>
      </c>
      <c r="J257" s="8" t="n">
        <f aca="false">F257*(G257-H257)</f>
        <v>30000</v>
      </c>
      <c r="K257" s="9" t="n">
        <f aca="false">(G257-H257)/G257</f>
        <v>0.25</v>
      </c>
    </row>
    <row r="258" customFormat="false" ht="15" hidden="false" customHeight="false" outlineLevel="0" collapsed="false">
      <c r="A258" s="2" t="n">
        <v>142</v>
      </c>
      <c r="B258" s="3" t="n">
        <v>45815</v>
      </c>
      <c r="C258" s="2" t="s">
        <v>11</v>
      </c>
      <c r="D258" s="2" t="s">
        <v>12</v>
      </c>
      <c r="E258" s="2" t="s">
        <v>13</v>
      </c>
      <c r="F258" s="2" t="n">
        <v>3</v>
      </c>
      <c r="G258" s="4" t="n">
        <v>35000</v>
      </c>
      <c r="H258" s="4" t="n">
        <v>20000</v>
      </c>
      <c r="I258" s="4" t="n">
        <f aca="false">F258*G258</f>
        <v>105000</v>
      </c>
      <c r="J258" s="4" t="n">
        <f aca="false">F258*(G258-H258)</f>
        <v>45000</v>
      </c>
      <c r="K258" s="5" t="n">
        <f aca="false">(G258-H258)/G258</f>
        <v>0.428571428571429</v>
      </c>
    </row>
    <row r="259" customFormat="false" ht="15" hidden="false" customHeight="false" outlineLevel="0" collapsed="false">
      <c r="A259" s="6" t="n">
        <v>92</v>
      </c>
      <c r="B259" s="7" t="n">
        <v>45815</v>
      </c>
      <c r="C259" s="6" t="s">
        <v>11</v>
      </c>
      <c r="D259" s="6" t="s">
        <v>15</v>
      </c>
      <c r="E259" s="6" t="s">
        <v>16</v>
      </c>
      <c r="F259" s="6" t="n">
        <v>23</v>
      </c>
      <c r="G259" s="8" t="n">
        <v>1500</v>
      </c>
      <c r="H259" s="8" t="n">
        <v>900</v>
      </c>
      <c r="I259" s="8" t="n">
        <f aca="false">F259*G259</f>
        <v>34500</v>
      </c>
      <c r="J259" s="8" t="n">
        <f aca="false">F259*(G259-H259)</f>
        <v>13800</v>
      </c>
      <c r="K259" s="9" t="n">
        <f aca="false">(G259-H259)/G259</f>
        <v>0.4</v>
      </c>
    </row>
    <row r="260" customFormat="false" ht="15" hidden="false" customHeight="false" outlineLevel="0" collapsed="false">
      <c r="A260" s="2" t="n">
        <v>143</v>
      </c>
      <c r="B260" s="3" t="n">
        <v>45815</v>
      </c>
      <c r="C260" s="2" t="s">
        <v>14</v>
      </c>
      <c r="D260" s="2" t="s">
        <v>15</v>
      </c>
      <c r="E260" s="2" t="s">
        <v>16</v>
      </c>
      <c r="F260" s="2" t="n">
        <v>19</v>
      </c>
      <c r="G260" s="4" t="n">
        <v>1500</v>
      </c>
      <c r="H260" s="4" t="n">
        <v>900</v>
      </c>
      <c r="I260" s="4" t="n">
        <f aca="false">F260*G260</f>
        <v>28500</v>
      </c>
      <c r="J260" s="4" t="n">
        <f aca="false">F260*(G260-H260)</f>
        <v>11400</v>
      </c>
      <c r="K260" s="5" t="n">
        <f aca="false">(G260-H260)/G260</f>
        <v>0.4</v>
      </c>
    </row>
    <row r="261" customFormat="false" ht="15" hidden="false" customHeight="false" outlineLevel="0" collapsed="false">
      <c r="A261" s="6" t="n">
        <v>30</v>
      </c>
      <c r="B261" s="7" t="n">
        <v>45816</v>
      </c>
      <c r="C261" s="6" t="s">
        <v>14</v>
      </c>
      <c r="D261" s="6" t="s">
        <v>20</v>
      </c>
      <c r="E261" s="6" t="s">
        <v>16</v>
      </c>
      <c r="F261" s="6" t="n">
        <v>20</v>
      </c>
      <c r="G261" s="8" t="n">
        <v>18000</v>
      </c>
      <c r="H261" s="8" t="n">
        <v>14000</v>
      </c>
      <c r="I261" s="8" t="n">
        <f aca="false">F261*G261</f>
        <v>360000</v>
      </c>
      <c r="J261" s="8" t="n">
        <f aca="false">F261*(G261-H261)</f>
        <v>80000</v>
      </c>
      <c r="K261" s="9" t="n">
        <f aca="false">(G261-H261)/G261</f>
        <v>0.222222222222222</v>
      </c>
    </row>
    <row r="262" customFormat="false" ht="15" hidden="false" customHeight="false" outlineLevel="0" collapsed="false">
      <c r="A262" s="2" t="n">
        <v>267</v>
      </c>
      <c r="B262" s="3" t="n">
        <v>45817</v>
      </c>
      <c r="C262" s="2" t="s">
        <v>11</v>
      </c>
      <c r="D262" s="2" t="s">
        <v>17</v>
      </c>
      <c r="E262" s="2" t="s">
        <v>16</v>
      </c>
      <c r="F262" s="2" t="n">
        <v>37</v>
      </c>
      <c r="G262" s="4" t="n">
        <v>85000</v>
      </c>
      <c r="H262" s="4" t="n">
        <v>75000</v>
      </c>
      <c r="I262" s="4" t="n">
        <f aca="false">F262*G262</f>
        <v>3145000</v>
      </c>
      <c r="J262" s="4" t="n">
        <f aca="false">F262*(G262-H262)</f>
        <v>370000</v>
      </c>
      <c r="K262" s="5" t="n">
        <f aca="false">(G262-H262)/G262</f>
        <v>0.117647058823529</v>
      </c>
    </row>
    <row r="263" customFormat="false" ht="15" hidden="false" customHeight="false" outlineLevel="0" collapsed="false">
      <c r="A263" s="6" t="n">
        <v>81</v>
      </c>
      <c r="B263" s="7" t="n">
        <v>45820</v>
      </c>
      <c r="C263" s="6" t="s">
        <v>14</v>
      </c>
      <c r="D263" s="6" t="s">
        <v>20</v>
      </c>
      <c r="E263" s="6" t="s">
        <v>16</v>
      </c>
      <c r="F263" s="6" t="n">
        <v>47</v>
      </c>
      <c r="G263" s="8" t="n">
        <v>18000</v>
      </c>
      <c r="H263" s="8" t="n">
        <v>14000</v>
      </c>
      <c r="I263" s="8" t="n">
        <f aca="false">F263*G263</f>
        <v>846000</v>
      </c>
      <c r="J263" s="8" t="n">
        <f aca="false">F263*(G263-H263)</f>
        <v>188000</v>
      </c>
      <c r="K263" s="9" t="n">
        <f aca="false">(G263-H263)/G263</f>
        <v>0.222222222222222</v>
      </c>
    </row>
    <row r="264" customFormat="false" ht="15" hidden="false" customHeight="false" outlineLevel="0" collapsed="false">
      <c r="A264" s="2" t="n">
        <v>71</v>
      </c>
      <c r="B264" s="3" t="n">
        <v>45820</v>
      </c>
      <c r="C264" s="2" t="s">
        <v>14</v>
      </c>
      <c r="D264" s="2" t="s">
        <v>20</v>
      </c>
      <c r="E264" s="2" t="s">
        <v>16</v>
      </c>
      <c r="F264" s="2" t="n">
        <v>15</v>
      </c>
      <c r="G264" s="4" t="n">
        <v>18000</v>
      </c>
      <c r="H264" s="4" t="n">
        <v>14000</v>
      </c>
      <c r="I264" s="4" t="n">
        <f aca="false">F264*G264</f>
        <v>270000</v>
      </c>
      <c r="J264" s="4" t="n">
        <f aca="false">F264*(G264-H264)</f>
        <v>60000</v>
      </c>
      <c r="K264" s="5" t="n">
        <f aca="false">(G264-H264)/G264</f>
        <v>0.222222222222222</v>
      </c>
    </row>
    <row r="265" customFormat="false" ht="15" hidden="false" customHeight="false" outlineLevel="0" collapsed="false">
      <c r="A265" s="6" t="n">
        <v>146</v>
      </c>
      <c r="B265" s="7" t="n">
        <v>45820</v>
      </c>
      <c r="C265" s="6" t="s">
        <v>14</v>
      </c>
      <c r="D265" s="6" t="s">
        <v>22</v>
      </c>
      <c r="E265" s="6" t="s">
        <v>23</v>
      </c>
      <c r="F265" s="6" t="n">
        <v>2</v>
      </c>
      <c r="G265" s="8" t="n">
        <v>600000</v>
      </c>
      <c r="H265" s="8" t="n">
        <v>520000</v>
      </c>
      <c r="I265" s="8" t="n">
        <f aca="false">F265*G265</f>
        <v>1200000</v>
      </c>
      <c r="J265" s="8" t="n">
        <f aca="false">F265*(G265-H265)</f>
        <v>160000</v>
      </c>
      <c r="K265" s="9" t="n">
        <f aca="false">(G265-H265)/G265</f>
        <v>0.133333333333333</v>
      </c>
    </row>
    <row r="266" customFormat="false" ht="15" hidden="false" customHeight="false" outlineLevel="0" collapsed="false">
      <c r="A266" s="2" t="n">
        <v>13</v>
      </c>
      <c r="B266" s="3" t="n">
        <v>45820</v>
      </c>
      <c r="C266" s="2" t="s">
        <v>11</v>
      </c>
      <c r="D266" s="2" t="s">
        <v>22</v>
      </c>
      <c r="E266" s="2" t="s">
        <v>23</v>
      </c>
      <c r="F266" s="2" t="n">
        <v>5</v>
      </c>
      <c r="G266" s="4" t="n">
        <v>600000</v>
      </c>
      <c r="H266" s="4" t="n">
        <v>520000</v>
      </c>
      <c r="I266" s="4" t="n">
        <f aca="false">F266*G266</f>
        <v>3000000</v>
      </c>
      <c r="J266" s="4" t="n">
        <f aca="false">F266*(G266-H266)</f>
        <v>400000</v>
      </c>
      <c r="K266" s="5" t="n">
        <f aca="false">(G266-H266)/G266</f>
        <v>0.133333333333333</v>
      </c>
    </row>
    <row r="267" customFormat="false" ht="15" hidden="false" customHeight="false" outlineLevel="0" collapsed="false">
      <c r="A267" s="6" t="n">
        <v>128</v>
      </c>
      <c r="B267" s="7" t="n">
        <v>45821</v>
      </c>
      <c r="C267" s="6" t="s">
        <v>14</v>
      </c>
      <c r="D267" s="6" t="s">
        <v>19</v>
      </c>
      <c r="E267" s="6" t="s">
        <v>13</v>
      </c>
      <c r="F267" s="6" t="n">
        <v>1</v>
      </c>
      <c r="G267" s="8" t="n">
        <v>15000</v>
      </c>
      <c r="H267" s="8" t="n">
        <v>7000</v>
      </c>
      <c r="I267" s="8" t="n">
        <f aca="false">F267*G267</f>
        <v>15000</v>
      </c>
      <c r="J267" s="8" t="n">
        <f aca="false">F267*(G267-H267)</f>
        <v>8000</v>
      </c>
      <c r="K267" s="9" t="n">
        <f aca="false">(G267-H267)/G267</f>
        <v>0.533333333333333</v>
      </c>
    </row>
    <row r="268" customFormat="false" ht="15" hidden="false" customHeight="false" outlineLevel="0" collapsed="false">
      <c r="A268" s="2" t="n">
        <v>50</v>
      </c>
      <c r="B268" s="3" t="n">
        <v>45821</v>
      </c>
      <c r="C268" s="2" t="s">
        <v>14</v>
      </c>
      <c r="D268" s="2" t="s">
        <v>12</v>
      </c>
      <c r="E268" s="2" t="s">
        <v>13</v>
      </c>
      <c r="F268" s="2" t="n">
        <v>3</v>
      </c>
      <c r="G268" s="4" t="n">
        <v>35000</v>
      </c>
      <c r="H268" s="4" t="n">
        <v>20000</v>
      </c>
      <c r="I268" s="4" t="n">
        <f aca="false">F268*G268</f>
        <v>105000</v>
      </c>
      <c r="J268" s="4" t="n">
        <f aca="false">F268*(G268-H268)</f>
        <v>45000</v>
      </c>
      <c r="K268" s="5" t="n">
        <f aca="false">(G268-H268)/G268</f>
        <v>0.428571428571429</v>
      </c>
    </row>
    <row r="269" customFormat="false" ht="15" hidden="false" customHeight="false" outlineLevel="0" collapsed="false">
      <c r="A269" s="6" t="n">
        <v>144</v>
      </c>
      <c r="B269" s="7" t="n">
        <v>45822</v>
      </c>
      <c r="C269" s="6" t="s">
        <v>18</v>
      </c>
      <c r="D269" s="6" t="s">
        <v>25</v>
      </c>
      <c r="E269" s="6" t="s">
        <v>23</v>
      </c>
      <c r="F269" s="6" t="n">
        <v>3</v>
      </c>
      <c r="G269" s="8" t="n">
        <v>250000</v>
      </c>
      <c r="H269" s="8" t="n">
        <v>200000</v>
      </c>
      <c r="I269" s="8" t="n">
        <f aca="false">F269*G269</f>
        <v>750000</v>
      </c>
      <c r="J269" s="8" t="n">
        <f aca="false">F269*(G269-H269)</f>
        <v>150000</v>
      </c>
      <c r="K269" s="9" t="n">
        <f aca="false">(G269-H269)/G269</f>
        <v>0.2</v>
      </c>
    </row>
    <row r="270" customFormat="false" ht="15" hidden="false" customHeight="false" outlineLevel="0" collapsed="false">
      <c r="A270" s="2" t="n">
        <v>110</v>
      </c>
      <c r="B270" s="3" t="n">
        <v>45822</v>
      </c>
      <c r="C270" s="2" t="s">
        <v>18</v>
      </c>
      <c r="D270" s="2" t="s">
        <v>12</v>
      </c>
      <c r="E270" s="2" t="s">
        <v>13</v>
      </c>
      <c r="F270" s="2" t="n">
        <v>3</v>
      </c>
      <c r="G270" s="4" t="n">
        <v>35000</v>
      </c>
      <c r="H270" s="4" t="n">
        <v>20000</v>
      </c>
      <c r="I270" s="4" t="n">
        <f aca="false">F270*G270</f>
        <v>105000</v>
      </c>
      <c r="J270" s="4" t="n">
        <f aca="false">F270*(G270-H270)</f>
        <v>45000</v>
      </c>
      <c r="K270" s="5" t="n">
        <f aca="false">(G270-H270)/G270</f>
        <v>0.428571428571429</v>
      </c>
    </row>
    <row r="271" customFormat="false" ht="15" hidden="false" customHeight="false" outlineLevel="0" collapsed="false">
      <c r="A271" s="6" t="n">
        <v>175</v>
      </c>
      <c r="B271" s="7" t="n">
        <v>45823</v>
      </c>
      <c r="C271" s="6" t="s">
        <v>11</v>
      </c>
      <c r="D271" s="6" t="s">
        <v>17</v>
      </c>
      <c r="E271" s="6" t="s">
        <v>16</v>
      </c>
      <c r="F271" s="6" t="n">
        <v>48</v>
      </c>
      <c r="G271" s="8" t="n">
        <v>85000</v>
      </c>
      <c r="H271" s="8" t="n">
        <v>75000</v>
      </c>
      <c r="I271" s="8" t="n">
        <f aca="false">F271*G271</f>
        <v>4080000</v>
      </c>
      <c r="J271" s="8" t="n">
        <f aca="false">F271*(G271-H271)</f>
        <v>480000</v>
      </c>
      <c r="K271" s="9" t="n">
        <f aca="false">(G271-H271)/G271</f>
        <v>0.117647058823529</v>
      </c>
    </row>
    <row r="272" customFormat="false" ht="15" hidden="false" customHeight="false" outlineLevel="0" collapsed="false">
      <c r="A272" s="2" t="n">
        <v>78</v>
      </c>
      <c r="B272" s="3" t="n">
        <v>45826</v>
      </c>
      <c r="C272" s="2" t="s">
        <v>11</v>
      </c>
      <c r="D272" s="2" t="s">
        <v>20</v>
      </c>
      <c r="E272" s="2" t="s">
        <v>16</v>
      </c>
      <c r="F272" s="2" t="n">
        <v>46</v>
      </c>
      <c r="G272" s="4" t="n">
        <v>18000</v>
      </c>
      <c r="H272" s="4" t="n">
        <v>14000</v>
      </c>
      <c r="I272" s="4" t="n">
        <f aca="false">F272*G272</f>
        <v>828000</v>
      </c>
      <c r="J272" s="4" t="n">
        <f aca="false">F272*(G272-H272)</f>
        <v>184000</v>
      </c>
      <c r="K272" s="5" t="n">
        <f aca="false">(G272-H272)/G272</f>
        <v>0.222222222222222</v>
      </c>
    </row>
    <row r="273" customFormat="false" ht="15" hidden="false" customHeight="false" outlineLevel="0" collapsed="false">
      <c r="A273" s="6" t="n">
        <v>152</v>
      </c>
      <c r="B273" s="7" t="n">
        <v>45827</v>
      </c>
      <c r="C273" s="6" t="s">
        <v>11</v>
      </c>
      <c r="D273" s="6" t="s">
        <v>17</v>
      </c>
      <c r="E273" s="6" t="s">
        <v>16</v>
      </c>
      <c r="F273" s="6" t="n">
        <v>23</v>
      </c>
      <c r="G273" s="8" t="n">
        <v>85000</v>
      </c>
      <c r="H273" s="8" t="n">
        <v>75000</v>
      </c>
      <c r="I273" s="8" t="n">
        <f aca="false">F273*G273</f>
        <v>1955000</v>
      </c>
      <c r="J273" s="8" t="n">
        <f aca="false">F273*(G273-H273)</f>
        <v>230000</v>
      </c>
      <c r="K273" s="9" t="n">
        <f aca="false">(G273-H273)/G273</f>
        <v>0.117647058823529</v>
      </c>
    </row>
    <row r="274" customFormat="false" ht="15" hidden="false" customHeight="false" outlineLevel="0" collapsed="false">
      <c r="A274" s="2" t="n">
        <v>55</v>
      </c>
      <c r="B274" s="3" t="n">
        <v>45828</v>
      </c>
      <c r="C274" s="2" t="s">
        <v>18</v>
      </c>
      <c r="D274" s="2" t="s">
        <v>19</v>
      </c>
      <c r="E274" s="2" t="s">
        <v>13</v>
      </c>
      <c r="F274" s="2" t="n">
        <v>3</v>
      </c>
      <c r="G274" s="4" t="n">
        <v>15000</v>
      </c>
      <c r="H274" s="4" t="n">
        <v>7000</v>
      </c>
      <c r="I274" s="4" t="n">
        <f aca="false">F274*G274</f>
        <v>45000</v>
      </c>
      <c r="J274" s="4" t="n">
        <f aca="false">F274*(G274-H274)</f>
        <v>24000</v>
      </c>
      <c r="K274" s="5" t="n">
        <f aca="false">(G274-H274)/G274</f>
        <v>0.533333333333333</v>
      </c>
    </row>
    <row r="275" customFormat="false" ht="15" hidden="false" customHeight="false" outlineLevel="0" collapsed="false">
      <c r="A275" s="6" t="n">
        <v>94</v>
      </c>
      <c r="B275" s="7" t="n">
        <v>45828</v>
      </c>
      <c r="C275" s="6" t="s">
        <v>11</v>
      </c>
      <c r="D275" s="6" t="s">
        <v>24</v>
      </c>
      <c r="E275" s="6" t="s">
        <v>23</v>
      </c>
      <c r="F275" s="6" t="n">
        <v>1</v>
      </c>
      <c r="G275" s="8" t="n">
        <v>40000</v>
      </c>
      <c r="H275" s="8" t="n">
        <v>25000</v>
      </c>
      <c r="I275" s="8" t="n">
        <f aca="false">F275*G275</f>
        <v>40000</v>
      </c>
      <c r="J275" s="8" t="n">
        <f aca="false">F275*(G275-H275)</f>
        <v>15000</v>
      </c>
      <c r="K275" s="9" t="n">
        <f aca="false">(G275-H275)/G275</f>
        <v>0.375</v>
      </c>
    </row>
    <row r="276" customFormat="false" ht="15" hidden="false" customHeight="false" outlineLevel="0" collapsed="false">
      <c r="A276" s="2" t="n">
        <v>69</v>
      </c>
      <c r="B276" s="3" t="n">
        <v>45829</v>
      </c>
      <c r="C276" s="2" t="s">
        <v>14</v>
      </c>
      <c r="D276" s="2" t="s">
        <v>22</v>
      </c>
      <c r="E276" s="2" t="s">
        <v>23</v>
      </c>
      <c r="F276" s="2" t="n">
        <v>2</v>
      </c>
      <c r="G276" s="4" t="n">
        <v>600000</v>
      </c>
      <c r="H276" s="4" t="n">
        <v>520000</v>
      </c>
      <c r="I276" s="4" t="n">
        <f aca="false">F276*G276</f>
        <v>1200000</v>
      </c>
      <c r="J276" s="4" t="n">
        <f aca="false">F276*(G276-H276)</f>
        <v>160000</v>
      </c>
      <c r="K276" s="5" t="n">
        <f aca="false">(G276-H276)/G276</f>
        <v>0.133333333333333</v>
      </c>
    </row>
    <row r="277" customFormat="false" ht="15" hidden="false" customHeight="false" outlineLevel="0" collapsed="false">
      <c r="A277" s="6" t="n">
        <v>57</v>
      </c>
      <c r="B277" s="7" t="n">
        <v>45829</v>
      </c>
      <c r="C277" s="6" t="s">
        <v>14</v>
      </c>
      <c r="D277" s="6" t="s">
        <v>21</v>
      </c>
      <c r="E277" s="6" t="s">
        <v>13</v>
      </c>
      <c r="F277" s="6" t="n">
        <v>3</v>
      </c>
      <c r="G277" s="8" t="n">
        <v>60000</v>
      </c>
      <c r="H277" s="8" t="n">
        <v>45000</v>
      </c>
      <c r="I277" s="8" t="n">
        <f aca="false">F277*G277</f>
        <v>180000</v>
      </c>
      <c r="J277" s="8" t="n">
        <f aca="false">F277*(G277-H277)</f>
        <v>45000</v>
      </c>
      <c r="K277" s="9" t="n">
        <f aca="false">(G277-H277)/G277</f>
        <v>0.25</v>
      </c>
    </row>
    <row r="278" customFormat="false" ht="15" hidden="false" customHeight="false" outlineLevel="0" collapsed="false">
      <c r="A278" s="2" t="n">
        <v>99</v>
      </c>
      <c r="B278" s="3" t="n">
        <v>45830</v>
      </c>
      <c r="C278" s="2" t="s">
        <v>18</v>
      </c>
      <c r="D278" s="2" t="s">
        <v>12</v>
      </c>
      <c r="E278" s="2" t="s">
        <v>13</v>
      </c>
      <c r="F278" s="2" t="n">
        <v>1</v>
      </c>
      <c r="G278" s="4" t="n">
        <v>35000</v>
      </c>
      <c r="H278" s="4" t="n">
        <v>20000</v>
      </c>
      <c r="I278" s="4" t="n">
        <f aca="false">F278*G278</f>
        <v>35000</v>
      </c>
      <c r="J278" s="4" t="n">
        <f aca="false">F278*(G278-H278)</f>
        <v>15000</v>
      </c>
      <c r="K278" s="5" t="n">
        <f aca="false">(G278-H278)/G278</f>
        <v>0.428571428571429</v>
      </c>
    </row>
    <row r="279" customFormat="false" ht="15" hidden="false" customHeight="false" outlineLevel="0" collapsed="false">
      <c r="A279" s="6" t="n">
        <v>278</v>
      </c>
      <c r="B279" s="7" t="n">
        <v>45830</v>
      </c>
      <c r="C279" s="6" t="s">
        <v>11</v>
      </c>
      <c r="D279" s="6" t="s">
        <v>15</v>
      </c>
      <c r="E279" s="6" t="s">
        <v>16</v>
      </c>
      <c r="F279" s="6" t="n">
        <v>32</v>
      </c>
      <c r="G279" s="8" t="n">
        <v>1500</v>
      </c>
      <c r="H279" s="8" t="n">
        <v>900</v>
      </c>
      <c r="I279" s="8" t="n">
        <f aca="false">F279*G279</f>
        <v>48000</v>
      </c>
      <c r="J279" s="8" t="n">
        <f aca="false">F279*(G279-H279)</f>
        <v>19200</v>
      </c>
      <c r="K279" s="9" t="n">
        <f aca="false">(G279-H279)/G279</f>
        <v>0.4</v>
      </c>
    </row>
    <row r="280" customFormat="false" ht="15" hidden="false" customHeight="false" outlineLevel="0" collapsed="false">
      <c r="A280" s="2" t="n">
        <v>116</v>
      </c>
      <c r="B280" s="3" t="n">
        <v>45830</v>
      </c>
      <c r="C280" s="2" t="s">
        <v>14</v>
      </c>
      <c r="D280" s="2" t="s">
        <v>21</v>
      </c>
      <c r="E280" s="2" t="s">
        <v>13</v>
      </c>
      <c r="F280" s="2" t="n">
        <v>3</v>
      </c>
      <c r="G280" s="4" t="n">
        <v>60000</v>
      </c>
      <c r="H280" s="4" t="n">
        <v>45000</v>
      </c>
      <c r="I280" s="4" t="n">
        <f aca="false">F280*G280</f>
        <v>180000</v>
      </c>
      <c r="J280" s="4" t="n">
        <f aca="false">F280*(G280-H280)</f>
        <v>45000</v>
      </c>
      <c r="K280" s="5" t="n">
        <f aca="false">(G280-H280)/G280</f>
        <v>0.25</v>
      </c>
    </row>
    <row r="281" customFormat="false" ht="15" hidden="false" customHeight="false" outlineLevel="0" collapsed="false">
      <c r="A281" s="6" t="n">
        <v>244</v>
      </c>
      <c r="B281" s="7" t="n">
        <v>45832</v>
      </c>
      <c r="C281" s="6" t="s">
        <v>11</v>
      </c>
      <c r="D281" s="6" t="s">
        <v>19</v>
      </c>
      <c r="E281" s="6" t="s">
        <v>13</v>
      </c>
      <c r="F281" s="6" t="n">
        <v>2</v>
      </c>
      <c r="G281" s="8" t="n">
        <v>15000</v>
      </c>
      <c r="H281" s="8" t="n">
        <v>7000</v>
      </c>
      <c r="I281" s="8" t="n">
        <f aca="false">F281*G281</f>
        <v>30000</v>
      </c>
      <c r="J281" s="8" t="n">
        <f aca="false">F281*(G281-H281)</f>
        <v>16000</v>
      </c>
      <c r="K281" s="9" t="n">
        <f aca="false">(G281-H281)/G281</f>
        <v>0.533333333333333</v>
      </c>
    </row>
    <row r="282" customFormat="false" ht="15" hidden="false" customHeight="false" outlineLevel="0" collapsed="false">
      <c r="A282" s="2" t="n">
        <v>145</v>
      </c>
      <c r="B282" s="3" t="n">
        <v>45832</v>
      </c>
      <c r="C282" s="2" t="s">
        <v>11</v>
      </c>
      <c r="D282" s="2" t="s">
        <v>15</v>
      </c>
      <c r="E282" s="2" t="s">
        <v>16</v>
      </c>
      <c r="F282" s="2" t="n">
        <v>11</v>
      </c>
      <c r="G282" s="4" t="n">
        <v>1500</v>
      </c>
      <c r="H282" s="4" t="n">
        <v>900</v>
      </c>
      <c r="I282" s="4" t="n">
        <f aca="false">F282*G282</f>
        <v>16500</v>
      </c>
      <c r="J282" s="4" t="n">
        <f aca="false">F282*(G282-H282)</f>
        <v>6600</v>
      </c>
      <c r="K282" s="5" t="n">
        <f aca="false">(G282-H282)/G282</f>
        <v>0.4</v>
      </c>
    </row>
    <row r="283" customFormat="false" ht="15" hidden="false" customHeight="false" outlineLevel="0" collapsed="false">
      <c r="A283" s="6" t="n">
        <v>237</v>
      </c>
      <c r="B283" s="7" t="n">
        <v>45833</v>
      </c>
      <c r="C283" s="6" t="s">
        <v>18</v>
      </c>
      <c r="D283" s="6" t="s">
        <v>15</v>
      </c>
      <c r="E283" s="6" t="s">
        <v>16</v>
      </c>
      <c r="F283" s="6" t="n">
        <v>40</v>
      </c>
      <c r="G283" s="8" t="n">
        <v>1500</v>
      </c>
      <c r="H283" s="8" t="n">
        <v>900</v>
      </c>
      <c r="I283" s="8" t="n">
        <f aca="false">F283*G283</f>
        <v>60000</v>
      </c>
      <c r="J283" s="8" t="n">
        <f aca="false">F283*(G283-H283)</f>
        <v>24000</v>
      </c>
      <c r="K283" s="9" t="n">
        <f aca="false">(G283-H283)/G283</f>
        <v>0.4</v>
      </c>
    </row>
    <row r="284" customFormat="false" ht="15" hidden="false" customHeight="false" outlineLevel="0" collapsed="false">
      <c r="A284" s="2" t="n">
        <v>271</v>
      </c>
      <c r="B284" s="3" t="n">
        <v>45833</v>
      </c>
      <c r="C284" s="2" t="s">
        <v>18</v>
      </c>
      <c r="D284" s="2" t="s">
        <v>19</v>
      </c>
      <c r="E284" s="2" t="s">
        <v>13</v>
      </c>
      <c r="F284" s="2" t="n">
        <v>1</v>
      </c>
      <c r="G284" s="4" t="n">
        <v>15000</v>
      </c>
      <c r="H284" s="4" t="n">
        <v>7000</v>
      </c>
      <c r="I284" s="4" t="n">
        <f aca="false">F284*G284</f>
        <v>15000</v>
      </c>
      <c r="J284" s="4" t="n">
        <f aca="false">F284*(G284-H284)</f>
        <v>8000</v>
      </c>
      <c r="K284" s="5" t="n">
        <f aca="false">(G284-H284)/G284</f>
        <v>0.533333333333333</v>
      </c>
    </row>
    <row r="285" customFormat="false" ht="15" hidden="false" customHeight="false" outlineLevel="0" collapsed="false">
      <c r="A285" s="6" t="n">
        <v>23</v>
      </c>
      <c r="B285" s="7" t="n">
        <v>45834</v>
      </c>
      <c r="C285" s="6" t="s">
        <v>11</v>
      </c>
      <c r="D285" s="6" t="s">
        <v>15</v>
      </c>
      <c r="E285" s="6" t="s">
        <v>16</v>
      </c>
      <c r="F285" s="6" t="n">
        <v>50</v>
      </c>
      <c r="G285" s="8" t="n">
        <v>1500</v>
      </c>
      <c r="H285" s="8" t="n">
        <v>900</v>
      </c>
      <c r="I285" s="8" t="n">
        <f aca="false">F285*G285</f>
        <v>75000</v>
      </c>
      <c r="J285" s="8" t="n">
        <f aca="false">F285*(G285-H285)</f>
        <v>30000</v>
      </c>
      <c r="K285" s="9" t="n">
        <f aca="false">(G285-H285)/G285</f>
        <v>0.4</v>
      </c>
    </row>
    <row r="286" customFormat="false" ht="15" hidden="false" customHeight="false" outlineLevel="0" collapsed="false">
      <c r="A286" s="2" t="n">
        <v>77</v>
      </c>
      <c r="B286" s="3" t="n">
        <v>45835</v>
      </c>
      <c r="C286" s="2" t="s">
        <v>14</v>
      </c>
      <c r="D286" s="2" t="s">
        <v>22</v>
      </c>
      <c r="E286" s="2" t="s">
        <v>23</v>
      </c>
      <c r="F286" s="2" t="n">
        <v>5</v>
      </c>
      <c r="G286" s="4" t="n">
        <v>600000</v>
      </c>
      <c r="H286" s="4" t="n">
        <v>520000</v>
      </c>
      <c r="I286" s="4" t="n">
        <f aca="false">F286*G286</f>
        <v>3000000</v>
      </c>
      <c r="J286" s="4" t="n">
        <f aca="false">F286*(G286-H286)</f>
        <v>400000</v>
      </c>
      <c r="K286" s="5" t="n">
        <f aca="false">(G286-H286)/G286</f>
        <v>0.133333333333333</v>
      </c>
    </row>
    <row r="287" customFormat="false" ht="15" hidden="false" customHeight="false" outlineLevel="0" collapsed="false">
      <c r="A287" s="6" t="n">
        <v>132</v>
      </c>
      <c r="B287" s="7" t="n">
        <v>45836</v>
      </c>
      <c r="C287" s="6" t="s">
        <v>11</v>
      </c>
      <c r="D287" s="6" t="s">
        <v>25</v>
      </c>
      <c r="E287" s="6" t="s">
        <v>23</v>
      </c>
      <c r="F287" s="6" t="n">
        <v>5</v>
      </c>
      <c r="G287" s="8" t="n">
        <v>250000</v>
      </c>
      <c r="H287" s="8" t="n">
        <v>200000</v>
      </c>
      <c r="I287" s="8" t="n">
        <f aca="false">F287*G287</f>
        <v>1250000</v>
      </c>
      <c r="J287" s="8" t="n">
        <f aca="false">F287*(G287-H287)</f>
        <v>250000</v>
      </c>
      <c r="K287" s="9" t="n">
        <f aca="false">(G287-H287)/G287</f>
        <v>0.2</v>
      </c>
    </row>
    <row r="288" customFormat="false" ht="15" hidden="false" customHeight="false" outlineLevel="0" collapsed="false">
      <c r="A288" s="2" t="n">
        <v>296</v>
      </c>
      <c r="B288" s="3" t="n">
        <v>45836</v>
      </c>
      <c r="C288" s="2" t="s">
        <v>14</v>
      </c>
      <c r="D288" s="2" t="s">
        <v>15</v>
      </c>
      <c r="E288" s="2" t="s">
        <v>16</v>
      </c>
      <c r="F288" s="2" t="n">
        <v>28</v>
      </c>
      <c r="G288" s="4" t="n">
        <v>1500</v>
      </c>
      <c r="H288" s="4" t="n">
        <v>900</v>
      </c>
      <c r="I288" s="4" t="n">
        <f aca="false">F288*G288</f>
        <v>42000</v>
      </c>
      <c r="J288" s="4" t="n">
        <f aca="false">F288*(G288-H288)</f>
        <v>16800</v>
      </c>
      <c r="K288" s="5" t="n">
        <f aca="false">(G288-H288)/G288</f>
        <v>0.4</v>
      </c>
    </row>
    <row r="289" customFormat="false" ht="15" hidden="false" customHeight="false" outlineLevel="0" collapsed="false">
      <c r="A289" s="6" t="n">
        <v>96</v>
      </c>
      <c r="B289" s="7" t="n">
        <v>45836</v>
      </c>
      <c r="C289" s="6" t="s">
        <v>14</v>
      </c>
      <c r="D289" s="6" t="s">
        <v>22</v>
      </c>
      <c r="E289" s="6" t="s">
        <v>23</v>
      </c>
      <c r="F289" s="6" t="n">
        <v>2</v>
      </c>
      <c r="G289" s="8" t="n">
        <v>600000</v>
      </c>
      <c r="H289" s="8" t="n">
        <v>520000</v>
      </c>
      <c r="I289" s="8" t="n">
        <f aca="false">F289*G289</f>
        <v>1200000</v>
      </c>
      <c r="J289" s="8" t="n">
        <f aca="false">F289*(G289-H289)</f>
        <v>160000</v>
      </c>
      <c r="K289" s="9" t="n">
        <f aca="false">(G289-H289)/G289</f>
        <v>0.133333333333333</v>
      </c>
    </row>
    <row r="290" customFormat="false" ht="15" hidden="false" customHeight="false" outlineLevel="0" collapsed="false">
      <c r="A290" s="2" t="n">
        <v>273</v>
      </c>
      <c r="B290" s="3" t="n">
        <v>45837</v>
      </c>
      <c r="C290" s="2" t="s">
        <v>14</v>
      </c>
      <c r="D290" s="2" t="s">
        <v>17</v>
      </c>
      <c r="E290" s="2" t="s">
        <v>16</v>
      </c>
      <c r="F290" s="2" t="n">
        <v>35</v>
      </c>
      <c r="G290" s="4" t="n">
        <v>85000</v>
      </c>
      <c r="H290" s="4" t="n">
        <v>75000</v>
      </c>
      <c r="I290" s="4" t="n">
        <f aca="false">F290*G290</f>
        <v>2975000</v>
      </c>
      <c r="J290" s="4" t="n">
        <f aca="false">F290*(G290-H290)</f>
        <v>350000</v>
      </c>
      <c r="K290" s="5" t="n">
        <f aca="false">(G290-H290)/G290</f>
        <v>0.117647058823529</v>
      </c>
    </row>
    <row r="291" customFormat="false" ht="15" hidden="false" customHeight="false" outlineLevel="0" collapsed="false">
      <c r="A291" s="6" t="n">
        <v>126</v>
      </c>
      <c r="B291" s="7" t="n">
        <v>45837</v>
      </c>
      <c r="C291" s="6" t="s">
        <v>11</v>
      </c>
      <c r="D291" s="6" t="s">
        <v>20</v>
      </c>
      <c r="E291" s="6" t="s">
        <v>16</v>
      </c>
      <c r="F291" s="6" t="n">
        <v>46</v>
      </c>
      <c r="G291" s="8" t="n">
        <v>18000</v>
      </c>
      <c r="H291" s="8" t="n">
        <v>14000</v>
      </c>
      <c r="I291" s="8" t="n">
        <f aca="false">F291*G291</f>
        <v>828000</v>
      </c>
      <c r="J291" s="8" t="n">
        <f aca="false">F291*(G291-H291)</f>
        <v>184000</v>
      </c>
      <c r="K291" s="9" t="n">
        <f aca="false">(G291-H291)/G291</f>
        <v>0.222222222222222</v>
      </c>
    </row>
    <row r="292" customFormat="false" ht="15" hidden="false" customHeight="false" outlineLevel="0" collapsed="false">
      <c r="A292" s="2" t="n">
        <v>280</v>
      </c>
      <c r="B292" s="3" t="n">
        <v>45837</v>
      </c>
      <c r="C292" s="2" t="s">
        <v>11</v>
      </c>
      <c r="D292" s="2" t="s">
        <v>12</v>
      </c>
      <c r="E292" s="2" t="s">
        <v>13</v>
      </c>
      <c r="F292" s="2" t="n">
        <v>3</v>
      </c>
      <c r="G292" s="4" t="n">
        <v>35000</v>
      </c>
      <c r="H292" s="4" t="n">
        <v>20000</v>
      </c>
      <c r="I292" s="4" t="n">
        <f aca="false">F292*G292</f>
        <v>105000</v>
      </c>
      <c r="J292" s="4" t="n">
        <f aca="false">F292*(G292-H292)</f>
        <v>45000</v>
      </c>
      <c r="K292" s="5" t="n">
        <f aca="false">(G292-H292)/G292</f>
        <v>0.428571428571429</v>
      </c>
    </row>
    <row r="293" customFormat="false" ht="15" hidden="false" customHeight="false" outlineLevel="0" collapsed="false">
      <c r="A293" s="6" t="n">
        <v>201</v>
      </c>
      <c r="B293" s="7" t="n">
        <v>45837</v>
      </c>
      <c r="C293" s="6" t="s">
        <v>18</v>
      </c>
      <c r="D293" s="6" t="s">
        <v>22</v>
      </c>
      <c r="E293" s="6" t="s">
        <v>23</v>
      </c>
      <c r="F293" s="6" t="n">
        <v>3</v>
      </c>
      <c r="G293" s="8" t="n">
        <v>600000</v>
      </c>
      <c r="H293" s="8" t="n">
        <v>520000</v>
      </c>
      <c r="I293" s="8" t="n">
        <f aca="false">F293*G293</f>
        <v>1800000</v>
      </c>
      <c r="J293" s="8" t="n">
        <f aca="false">F293*(G293-H293)</f>
        <v>240000</v>
      </c>
      <c r="K293" s="9" t="n">
        <f aca="false">(G293-H293)/G293</f>
        <v>0.133333333333333</v>
      </c>
    </row>
    <row r="294" customFormat="false" ht="15" hidden="false" customHeight="false" outlineLevel="0" collapsed="false">
      <c r="A294" s="2" t="n">
        <v>276</v>
      </c>
      <c r="B294" s="3" t="n">
        <v>45838</v>
      </c>
      <c r="C294" s="2" t="s">
        <v>14</v>
      </c>
      <c r="D294" s="2" t="s">
        <v>12</v>
      </c>
      <c r="E294" s="2" t="s">
        <v>13</v>
      </c>
      <c r="F294" s="2" t="n">
        <v>1</v>
      </c>
      <c r="G294" s="4" t="n">
        <v>35000</v>
      </c>
      <c r="H294" s="4" t="n">
        <v>20000</v>
      </c>
      <c r="I294" s="4" t="n">
        <f aca="false">F294*G294</f>
        <v>35000</v>
      </c>
      <c r="J294" s="4" t="n">
        <f aca="false">F294*(G294-H294)</f>
        <v>15000</v>
      </c>
      <c r="K294" s="5" t="n">
        <f aca="false">(G294-H294)/G294</f>
        <v>0.428571428571429</v>
      </c>
    </row>
    <row r="295" customFormat="false" ht="15" hidden="false" customHeight="false" outlineLevel="0" collapsed="false">
      <c r="A295" s="6" t="n">
        <v>235</v>
      </c>
      <c r="B295" s="7" t="n">
        <v>45838</v>
      </c>
      <c r="C295" s="6" t="s">
        <v>14</v>
      </c>
      <c r="D295" s="6" t="s">
        <v>20</v>
      </c>
      <c r="E295" s="6" t="s">
        <v>16</v>
      </c>
      <c r="F295" s="6" t="n">
        <v>48</v>
      </c>
      <c r="G295" s="8" t="n">
        <v>18000</v>
      </c>
      <c r="H295" s="8" t="n">
        <v>14000</v>
      </c>
      <c r="I295" s="8" t="n">
        <f aca="false">F295*G295</f>
        <v>864000</v>
      </c>
      <c r="J295" s="8" t="n">
        <f aca="false">F295*(G295-H295)</f>
        <v>192000</v>
      </c>
      <c r="K295" s="9" t="n">
        <f aca="false">(G295-H295)/G295</f>
        <v>0.222222222222222</v>
      </c>
    </row>
  </sheetData>
  <autoFilter ref="A1:K2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21.75" hidden="false" customHeight="true" outlineLevel="0" collapsed="false">
      <c r="A1" s="1" t="s">
        <v>2</v>
      </c>
      <c r="B1" s="1" t="s">
        <v>4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5" hidden="false" customHeight="false" outlineLevel="0" collapsed="false">
      <c r="A2" s="6" t="s">
        <v>14</v>
      </c>
      <c r="B2" s="6" t="s">
        <v>13</v>
      </c>
      <c r="C2" s="6" t="n">
        <v>44</v>
      </c>
      <c r="D2" s="8" t="n">
        <v>2775000</v>
      </c>
      <c r="E2" s="8" t="n">
        <v>1058000</v>
      </c>
      <c r="F2" s="9" t="n">
        <v>0.446103896103896</v>
      </c>
    </row>
    <row r="3" customFormat="false" ht="15" hidden="false" customHeight="false" outlineLevel="0" collapsed="false">
      <c r="A3" s="2" t="s">
        <v>14</v>
      </c>
      <c r="B3" s="2" t="s">
        <v>23</v>
      </c>
      <c r="C3" s="2" t="n">
        <v>40</v>
      </c>
      <c r="D3" s="4" t="n">
        <v>34000000</v>
      </c>
      <c r="E3" s="4" t="n">
        <v>5550000</v>
      </c>
      <c r="F3" s="5" t="n">
        <v>0.252708333333333</v>
      </c>
    </row>
    <row r="4" customFormat="false" ht="15" hidden="false" customHeight="false" outlineLevel="0" collapsed="false">
      <c r="A4" s="6" t="s">
        <v>14</v>
      </c>
      <c r="B4" s="6" t="s">
        <v>16</v>
      </c>
      <c r="C4" s="6" t="n">
        <v>45</v>
      </c>
      <c r="D4" s="8" t="n">
        <v>37387000</v>
      </c>
      <c r="E4" s="8" t="n">
        <v>5182000</v>
      </c>
      <c r="F4" s="9" t="n">
        <v>0.248249818445897</v>
      </c>
    </row>
    <row r="5" customFormat="false" ht="15" hidden="false" customHeight="false" outlineLevel="0" collapsed="false">
      <c r="A5" s="2" t="s">
        <v>11</v>
      </c>
      <c r="B5" s="2" t="s">
        <v>13</v>
      </c>
      <c r="C5" s="2" t="n">
        <v>22</v>
      </c>
      <c r="D5" s="4" t="n">
        <v>1890000</v>
      </c>
      <c r="E5" s="4" t="n">
        <v>688000</v>
      </c>
      <c r="F5" s="5" t="n">
        <v>0.411796536796537</v>
      </c>
    </row>
    <row r="6" customFormat="false" ht="15" hidden="false" customHeight="false" outlineLevel="0" collapsed="false">
      <c r="A6" s="6" t="s">
        <v>11</v>
      </c>
      <c r="B6" s="6" t="s">
        <v>23</v>
      </c>
      <c r="C6" s="6" t="n">
        <v>29</v>
      </c>
      <c r="D6" s="8" t="n">
        <v>34500000</v>
      </c>
      <c r="E6" s="8" t="n">
        <v>5360000</v>
      </c>
      <c r="F6" s="9" t="n">
        <v>0.20632183908046</v>
      </c>
    </row>
    <row r="7" customFormat="false" ht="15" hidden="false" customHeight="false" outlineLevel="0" collapsed="false">
      <c r="A7" s="2" t="s">
        <v>11</v>
      </c>
      <c r="B7" s="2" t="s">
        <v>16</v>
      </c>
      <c r="C7" s="2" t="n">
        <v>35</v>
      </c>
      <c r="D7" s="4" t="n">
        <v>37872000</v>
      </c>
      <c r="E7" s="4" t="n">
        <v>5273600</v>
      </c>
      <c r="F7" s="5" t="n">
        <v>0.237161531279178</v>
      </c>
    </row>
    <row r="8" customFormat="false" ht="15" hidden="false" customHeight="false" outlineLevel="0" collapsed="false">
      <c r="A8" s="6" t="s">
        <v>18</v>
      </c>
      <c r="B8" s="6" t="s">
        <v>13</v>
      </c>
      <c r="C8" s="6" t="n">
        <v>29</v>
      </c>
      <c r="D8" s="8" t="n">
        <v>3235000</v>
      </c>
      <c r="E8" s="8" t="n">
        <v>1200000</v>
      </c>
      <c r="F8" s="9" t="n">
        <v>0.424137931034483</v>
      </c>
    </row>
    <row r="9" customFormat="false" ht="15" hidden="false" customHeight="false" outlineLevel="0" collapsed="false">
      <c r="A9" s="2" t="s">
        <v>18</v>
      </c>
      <c r="B9" s="2" t="s">
        <v>23</v>
      </c>
      <c r="C9" s="2" t="n">
        <v>25</v>
      </c>
      <c r="D9" s="4" t="n">
        <v>24270000</v>
      </c>
      <c r="E9" s="4" t="n">
        <v>4090000</v>
      </c>
      <c r="F9" s="5" t="n">
        <v>0.244333333333333</v>
      </c>
    </row>
    <row r="10" customFormat="false" ht="15" hidden="false" customHeight="false" outlineLevel="0" collapsed="false">
      <c r="A10" s="6" t="s">
        <v>18</v>
      </c>
      <c r="B10" s="6" t="s">
        <v>16</v>
      </c>
      <c r="C10" s="6" t="n">
        <v>25</v>
      </c>
      <c r="D10" s="8" t="n">
        <v>24608000</v>
      </c>
      <c r="E10" s="8" t="n">
        <v>3558400</v>
      </c>
      <c r="F10" s="9" t="n">
        <v>0.249830065359477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2026-04-05T08:59:31Z</dcterms:created>
  <dc:creator>openpyxl</dc:creator>
  <dc:description/>
  <dc:language>en-US</dc:language>
  <cp:lastModifiedBy/>
  <dcterms:modified xsi:type="dcterms:W3CDTF">2026-04-05T08:59:31Z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